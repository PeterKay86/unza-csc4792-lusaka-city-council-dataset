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C-FIN-004-CA\Desktop\"/>
    </mc:Choice>
  </mc:AlternateContent>
  <xr:revisionPtr revIDLastSave="0" documentId="13_ncr:1_{9D923C7B-981A-49C0-B8BB-8213772C07B2}" xr6:coauthVersionLast="47" xr6:coauthVersionMax="47" xr10:uidLastSave="{00000000-0000-0000-0000-000000000000}"/>
  <bookViews>
    <workbookView xWindow="-108" yWindow="-108" windowWidth="23256" windowHeight="12456" xr2:uid="{C1F69FAB-9BD6-47A0-87D0-046B8F247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4" i="1" l="1"/>
  <c r="J380" i="1"/>
  <c r="I380" i="1"/>
  <c r="J379" i="1"/>
  <c r="I379" i="1"/>
  <c r="H376" i="1"/>
  <c r="J374" i="1"/>
  <c r="I374" i="1"/>
  <c r="J373" i="1"/>
  <c r="I373" i="1"/>
  <c r="J371" i="1"/>
  <c r="I371" i="1"/>
  <c r="J369" i="1"/>
  <c r="I369" i="1"/>
  <c r="J367" i="1"/>
  <c r="I367" i="1"/>
  <c r="J366" i="1"/>
  <c r="I366" i="1"/>
  <c r="J365" i="1"/>
  <c r="I365" i="1"/>
  <c r="J364" i="1"/>
  <c r="I364" i="1"/>
  <c r="J362" i="1"/>
  <c r="I362" i="1"/>
  <c r="F359" i="1"/>
  <c r="H359" i="1" s="1"/>
  <c r="J357" i="1"/>
  <c r="I357" i="1"/>
  <c r="J355" i="1"/>
  <c r="I355" i="1"/>
  <c r="J353" i="1"/>
  <c r="I353" i="1"/>
  <c r="J351" i="1"/>
  <c r="I351" i="1"/>
  <c r="J349" i="1"/>
  <c r="I349" i="1"/>
  <c r="J347" i="1"/>
  <c r="I347" i="1"/>
  <c r="J345" i="1"/>
  <c r="I345" i="1"/>
  <c r="J344" i="1"/>
  <c r="I344" i="1"/>
  <c r="H341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H331" i="1"/>
  <c r="J329" i="1"/>
  <c r="I329" i="1"/>
  <c r="J327" i="1"/>
  <c r="I327" i="1"/>
  <c r="J325" i="1"/>
  <c r="I325" i="1"/>
  <c r="J324" i="1"/>
  <c r="I324" i="1"/>
  <c r="J322" i="1"/>
  <c r="I322" i="1"/>
  <c r="J321" i="1"/>
  <c r="I321" i="1"/>
  <c r="J319" i="1"/>
  <c r="I319" i="1"/>
  <c r="J318" i="1"/>
  <c r="I318" i="1"/>
  <c r="J316" i="1"/>
  <c r="I316" i="1"/>
  <c r="J314" i="1"/>
  <c r="I314" i="1"/>
  <c r="J311" i="1"/>
  <c r="I311" i="1"/>
  <c r="J309" i="1"/>
  <c r="I309" i="1"/>
  <c r="J308" i="1"/>
  <c r="I308" i="1"/>
  <c r="J306" i="1"/>
  <c r="I306" i="1"/>
  <c r="J304" i="1"/>
  <c r="I304" i="1"/>
  <c r="H301" i="1"/>
  <c r="J299" i="1"/>
  <c r="I299" i="1"/>
  <c r="J297" i="1"/>
  <c r="I297" i="1"/>
  <c r="J296" i="1"/>
  <c r="I296" i="1"/>
  <c r="H293" i="1"/>
  <c r="J291" i="1"/>
  <c r="I291" i="1"/>
  <c r="J290" i="1"/>
  <c r="I290" i="1"/>
  <c r="J288" i="1"/>
  <c r="I288" i="1"/>
  <c r="J287" i="1"/>
  <c r="I287" i="1"/>
  <c r="J285" i="1"/>
  <c r="I285" i="1"/>
  <c r="J284" i="1"/>
  <c r="I284" i="1"/>
  <c r="J283" i="1"/>
  <c r="I283" i="1"/>
  <c r="J281" i="1"/>
  <c r="I281" i="1"/>
  <c r="J280" i="1"/>
  <c r="I280" i="1"/>
  <c r="J279" i="1"/>
  <c r="I279" i="1"/>
  <c r="J277" i="1"/>
  <c r="I277" i="1"/>
  <c r="J276" i="1"/>
  <c r="I276" i="1"/>
  <c r="J274" i="1"/>
  <c r="I274" i="1"/>
  <c r="J273" i="1"/>
  <c r="I273" i="1"/>
  <c r="J272" i="1"/>
  <c r="I272" i="1"/>
  <c r="J270" i="1"/>
  <c r="I270" i="1"/>
  <c r="J269" i="1"/>
  <c r="I269" i="1"/>
  <c r="J267" i="1"/>
  <c r="I267" i="1"/>
  <c r="J266" i="1"/>
  <c r="I266" i="1"/>
  <c r="J265" i="1"/>
  <c r="I265" i="1"/>
  <c r="J263" i="1"/>
  <c r="I263" i="1"/>
  <c r="J261" i="1"/>
  <c r="I261" i="1"/>
  <c r="J260" i="1"/>
  <c r="I260" i="1"/>
  <c r="J258" i="1"/>
  <c r="I258" i="1"/>
  <c r="J257" i="1"/>
  <c r="I257" i="1"/>
  <c r="J256" i="1"/>
  <c r="I256" i="1"/>
  <c r="H253" i="1"/>
  <c r="J251" i="1"/>
  <c r="I251" i="1"/>
  <c r="J250" i="1"/>
  <c r="I250" i="1"/>
  <c r="J249" i="1"/>
  <c r="I249" i="1"/>
  <c r="J247" i="1"/>
  <c r="I247" i="1"/>
  <c r="J246" i="1"/>
  <c r="I246" i="1"/>
  <c r="H243" i="1"/>
  <c r="J241" i="1"/>
  <c r="I241" i="1"/>
  <c r="J240" i="1"/>
  <c r="I240" i="1"/>
  <c r="J239" i="1"/>
  <c r="I239" i="1"/>
  <c r="J238" i="1"/>
  <c r="I238" i="1"/>
  <c r="J236" i="1"/>
  <c r="I236" i="1"/>
  <c r="J235" i="1"/>
  <c r="I235" i="1"/>
  <c r="J234" i="1"/>
  <c r="I234" i="1"/>
  <c r="H231" i="1"/>
  <c r="J229" i="1"/>
  <c r="I229" i="1"/>
  <c r="J228" i="1"/>
  <c r="I228" i="1"/>
  <c r="J227" i="1"/>
  <c r="I227" i="1"/>
  <c r="J225" i="1"/>
  <c r="I225" i="1"/>
  <c r="H222" i="1"/>
  <c r="J220" i="1"/>
  <c r="I220" i="1"/>
  <c r="J219" i="1"/>
  <c r="I219" i="1"/>
  <c r="J217" i="1"/>
  <c r="I217" i="1"/>
  <c r="J216" i="1"/>
  <c r="I216" i="1"/>
  <c r="J215" i="1"/>
  <c r="I215" i="1"/>
  <c r="J213" i="1"/>
  <c r="I213" i="1"/>
  <c r="J212" i="1"/>
  <c r="I212" i="1"/>
  <c r="J210" i="1"/>
  <c r="I210" i="1"/>
  <c r="J209" i="1"/>
  <c r="I209" i="1"/>
  <c r="J208" i="1"/>
  <c r="I208" i="1"/>
  <c r="J207" i="1"/>
  <c r="I207" i="1"/>
  <c r="J205" i="1"/>
  <c r="I205" i="1"/>
  <c r="J204" i="1"/>
  <c r="I204" i="1"/>
  <c r="J203" i="1"/>
  <c r="I203" i="1"/>
  <c r="J202" i="1"/>
  <c r="I202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3" i="1"/>
  <c r="I193" i="1"/>
  <c r="J192" i="1"/>
  <c r="I192" i="1"/>
  <c r="J191" i="1"/>
  <c r="I191" i="1"/>
  <c r="J190" i="1"/>
  <c r="I190" i="1"/>
  <c r="J188" i="1"/>
  <c r="I188" i="1"/>
  <c r="J187" i="1"/>
  <c r="I187" i="1"/>
  <c r="H184" i="1"/>
  <c r="J182" i="1"/>
  <c r="I182" i="1"/>
  <c r="J181" i="1"/>
  <c r="I181" i="1"/>
  <c r="J180" i="1"/>
  <c r="I180" i="1"/>
  <c r="J179" i="1"/>
  <c r="I179" i="1"/>
  <c r="J177" i="1"/>
  <c r="I177" i="1"/>
  <c r="J176" i="1"/>
  <c r="I176" i="1"/>
  <c r="J175" i="1"/>
  <c r="I175" i="1"/>
  <c r="J173" i="1"/>
  <c r="I173" i="1"/>
  <c r="J172" i="1"/>
  <c r="I172" i="1"/>
  <c r="J171" i="1"/>
  <c r="I171" i="1"/>
  <c r="J169" i="1"/>
  <c r="I169" i="1"/>
  <c r="J168" i="1"/>
  <c r="I168" i="1"/>
  <c r="J167" i="1"/>
  <c r="I167" i="1"/>
  <c r="H164" i="1"/>
  <c r="J162" i="1"/>
  <c r="I162" i="1"/>
  <c r="J160" i="1"/>
  <c r="I160" i="1"/>
  <c r="J159" i="1"/>
  <c r="I159" i="1"/>
  <c r="J158" i="1"/>
  <c r="I158" i="1"/>
  <c r="J156" i="1"/>
  <c r="I156" i="1"/>
  <c r="H153" i="1"/>
  <c r="J151" i="1"/>
  <c r="I151" i="1"/>
  <c r="J149" i="1"/>
  <c r="I149" i="1"/>
  <c r="J147" i="1"/>
  <c r="I147" i="1"/>
  <c r="J145" i="1"/>
  <c r="I145" i="1"/>
  <c r="J141" i="1"/>
  <c r="I141" i="1"/>
  <c r="J139" i="1"/>
  <c r="I139" i="1"/>
  <c r="J137" i="1"/>
  <c r="I137" i="1"/>
  <c r="J135" i="1"/>
  <c r="I135" i="1"/>
  <c r="J134" i="1"/>
  <c r="I134" i="1"/>
  <c r="J133" i="1"/>
  <c r="I133" i="1"/>
  <c r="J131" i="1"/>
  <c r="I131" i="1"/>
  <c r="J129" i="1"/>
  <c r="I129" i="1"/>
  <c r="J128" i="1"/>
  <c r="I128" i="1"/>
  <c r="H125" i="1"/>
  <c r="J123" i="1"/>
  <c r="I123" i="1"/>
  <c r="J121" i="1"/>
  <c r="I121" i="1"/>
  <c r="J119" i="1"/>
  <c r="I119" i="1"/>
  <c r="J117" i="1"/>
  <c r="I117" i="1"/>
  <c r="J116" i="1"/>
  <c r="I116" i="1"/>
  <c r="J114" i="1"/>
  <c r="I114" i="1"/>
  <c r="J112" i="1"/>
  <c r="I112" i="1"/>
  <c r="J110" i="1"/>
  <c r="I110" i="1"/>
  <c r="J108" i="1"/>
  <c r="I108" i="1"/>
  <c r="J107" i="1"/>
  <c r="I107" i="1"/>
  <c r="H104" i="1"/>
  <c r="J102" i="1"/>
  <c r="I102" i="1"/>
  <c r="J101" i="1"/>
  <c r="I101" i="1"/>
  <c r="J99" i="1"/>
  <c r="I99" i="1"/>
  <c r="J97" i="1"/>
  <c r="I97" i="1"/>
  <c r="J96" i="1"/>
  <c r="I96" i="1"/>
  <c r="J94" i="1"/>
  <c r="I94" i="1"/>
  <c r="J93" i="1"/>
  <c r="I93" i="1"/>
  <c r="J91" i="1"/>
  <c r="I91" i="1"/>
  <c r="J90" i="1"/>
  <c r="I90" i="1"/>
  <c r="J88" i="1"/>
  <c r="I88" i="1"/>
  <c r="J87" i="1"/>
  <c r="I87" i="1"/>
  <c r="J85" i="1"/>
  <c r="I85" i="1"/>
  <c r="J84" i="1"/>
  <c r="I84" i="1"/>
  <c r="J83" i="1"/>
  <c r="I83" i="1"/>
  <c r="J81" i="1"/>
  <c r="I81" i="1"/>
  <c r="J80" i="1"/>
  <c r="I80" i="1"/>
  <c r="J78" i="1"/>
  <c r="I78" i="1"/>
  <c r="J77" i="1"/>
  <c r="I77" i="1"/>
  <c r="H74" i="1"/>
  <c r="F384" i="1" l="1"/>
  <c r="J384" i="1" l="1"/>
  <c r="H384" i="1"/>
  <c r="G41" i="1" l="1"/>
  <c r="G42" i="1"/>
  <c r="G43" i="1"/>
  <c r="G44" i="1"/>
  <c r="G45" i="1"/>
  <c r="G40" i="1"/>
  <c r="G27" i="1"/>
  <c r="G28" i="1"/>
  <c r="G29" i="1"/>
  <c r="G26" i="1"/>
  <c r="G13" i="1"/>
  <c r="G14" i="1"/>
  <c r="G12" i="1"/>
  <c r="F9" i="1" l="1"/>
  <c r="F38" i="1"/>
  <c r="G22" i="1" l="1"/>
  <c r="D24" i="1"/>
  <c r="E69" i="1"/>
  <c r="E46" i="1"/>
  <c r="D46" i="1"/>
  <c r="F45" i="1"/>
  <c r="F44" i="1"/>
  <c r="F43" i="1"/>
  <c r="F42" i="1"/>
  <c r="F41" i="1"/>
  <c r="F40" i="1"/>
  <c r="G39" i="1"/>
  <c r="F39" i="1"/>
  <c r="G38" i="1"/>
  <c r="F30" i="1"/>
  <c r="E30" i="1"/>
  <c r="D30" i="1"/>
  <c r="E24" i="1"/>
  <c r="G23" i="1"/>
  <c r="F23" i="1"/>
  <c r="F22" i="1"/>
  <c r="G21" i="1"/>
  <c r="F21" i="1"/>
  <c r="G20" i="1"/>
  <c r="F20" i="1"/>
  <c r="G19" i="1"/>
  <c r="F19" i="1"/>
  <c r="G18" i="1"/>
  <c r="F18" i="1"/>
  <c r="G17" i="1"/>
  <c r="F17" i="1"/>
  <c r="E15" i="1"/>
  <c r="D15" i="1"/>
  <c r="F14" i="1"/>
  <c r="F13" i="1"/>
  <c r="F12" i="1"/>
  <c r="G11" i="1"/>
  <c r="F11" i="1"/>
  <c r="G10" i="1"/>
  <c r="F10" i="1"/>
  <c r="G9" i="1"/>
  <c r="G30" i="1" l="1"/>
  <c r="G46" i="1"/>
  <c r="F46" i="1"/>
  <c r="E31" i="1"/>
  <c r="E48" i="1" s="1"/>
  <c r="F24" i="1"/>
  <c r="D31" i="1"/>
  <c r="D48" i="1" s="1"/>
  <c r="G24" i="1"/>
  <c r="F15" i="1"/>
  <c r="G15" i="1"/>
  <c r="F31" i="1" l="1"/>
  <c r="G31" i="1"/>
  <c r="D69" i="1"/>
</calcChain>
</file>

<file path=xl/sharedStrings.xml><?xml version="1.0" encoding="utf-8"?>
<sst xmlns="http://schemas.openxmlformats.org/spreadsheetml/2006/main" count="1021" uniqueCount="494">
  <si>
    <t>REVENUE SOURCES</t>
  </si>
  <si>
    <t>#</t>
  </si>
  <si>
    <t>Receipts</t>
  </si>
  <si>
    <t>Budget</t>
  </si>
  <si>
    <t>Actual</t>
  </si>
  <si>
    <t>Varinace</t>
  </si>
  <si>
    <t>Performance</t>
  </si>
  <si>
    <t>a</t>
  </si>
  <si>
    <t>b</t>
  </si>
  <si>
    <t>c=a-b</t>
  </si>
  <si>
    <t>b/a</t>
  </si>
  <si>
    <t>ZMW</t>
  </si>
  <si>
    <t>%</t>
  </si>
  <si>
    <t>National Support</t>
  </si>
  <si>
    <t>1.1 Local Government Equalisation Fund</t>
  </si>
  <si>
    <t>1.2 Grants In Lieu of Rates</t>
  </si>
  <si>
    <t>1.3 Sector Grants</t>
  </si>
  <si>
    <t>1.4 ZDSP Capital Grants</t>
  </si>
  <si>
    <t>1.5 Constituency Development Fund</t>
  </si>
  <si>
    <t>1.6 Other Grants</t>
  </si>
  <si>
    <t>Sub - total</t>
  </si>
  <si>
    <t>Own Source Revenue</t>
  </si>
  <si>
    <t>2.1 Local Taxes</t>
  </si>
  <si>
    <t>2.2 Fee &amp; Charges</t>
  </si>
  <si>
    <t>2.3 Licences</t>
  </si>
  <si>
    <t>2.4 Levies</t>
  </si>
  <si>
    <t>2.5 Permits</t>
  </si>
  <si>
    <t>2.6 Commercial ventures</t>
  </si>
  <si>
    <t>2.7 Others OSR</t>
  </si>
  <si>
    <t>Other revenue</t>
  </si>
  <si>
    <t>4.1 Bank interest received</t>
  </si>
  <si>
    <t>4.2 Borrowings - Loans</t>
  </si>
  <si>
    <t>4.2 Borrowings - Overdraft</t>
  </si>
  <si>
    <t>4.3 Others</t>
  </si>
  <si>
    <t>Total</t>
  </si>
  <si>
    <t xml:space="preserve">PAYMENTS </t>
  </si>
  <si>
    <t>Expenditure</t>
  </si>
  <si>
    <t>Personal emoluments</t>
  </si>
  <si>
    <t>Use of goods and services</t>
  </si>
  <si>
    <t>Financial charges</t>
  </si>
  <si>
    <t>Social benefits</t>
  </si>
  <si>
    <t>Non-financial assets</t>
  </si>
  <si>
    <t>Financial assets</t>
  </si>
  <si>
    <t>Loan repayments</t>
  </si>
  <si>
    <t>Other repayments</t>
  </si>
  <si>
    <t>Total payments</t>
  </si>
  <si>
    <t>Net Budget Performance</t>
  </si>
  <si>
    <t>DEBT and ARREARS</t>
  </si>
  <si>
    <t>Narration</t>
  </si>
  <si>
    <t>OUTSTANDING AMOUNTS</t>
  </si>
  <si>
    <t xml:space="preserve"> PE'S </t>
  </si>
  <si>
    <t xml:space="preserve"> ZAMTEL </t>
  </si>
  <si>
    <t xml:space="preserve"> ZESCO </t>
  </si>
  <si>
    <t xml:space="preserve"> WATER  </t>
  </si>
  <si>
    <t>LEGAL COSTS</t>
  </si>
  <si>
    <t>NAPSA ARREARS</t>
  </si>
  <si>
    <t>NAPSA ARREARS - PENALTIES</t>
  </si>
  <si>
    <t>LASF ARREARS</t>
  </si>
  <si>
    <t>LASF ARREARS - PENALTIES</t>
  </si>
  <si>
    <t xml:space="preserve">OTHER PENSION ARREARS </t>
  </si>
  <si>
    <t xml:space="preserve">OTHER PENSIONS ARREARS - PENALTIES </t>
  </si>
  <si>
    <t xml:space="preserve"> ZRA PAYE </t>
  </si>
  <si>
    <t xml:space="preserve"> ZRA - PENALTIES </t>
  </si>
  <si>
    <t xml:space="preserve"> GOODS &amp; SERVICES </t>
  </si>
  <si>
    <t xml:space="preserve"> CAPITAL </t>
  </si>
  <si>
    <t>PERFORMANCE REVIEW BY PROGRAMME</t>
  </si>
  <si>
    <t>Constituency Development</t>
  </si>
  <si>
    <t>VARIANCE</t>
  </si>
  <si>
    <t>Local Governance</t>
  </si>
  <si>
    <t>Integrated Development Planning</t>
  </si>
  <si>
    <t>PERCENTAGE</t>
  </si>
  <si>
    <t>Economic and Business Development</t>
  </si>
  <si>
    <t>Public Health and Environmental Protection</t>
  </si>
  <si>
    <t>Housing and Community Amenities</t>
  </si>
  <si>
    <t>Recreation Culture and Religion</t>
  </si>
  <si>
    <t>Education and Skills Development</t>
  </si>
  <si>
    <t>Public Order and Safety</t>
  </si>
  <si>
    <t>Management and Support Services</t>
  </si>
  <si>
    <t>Resource Mobilization and Management</t>
  </si>
  <si>
    <t>District Health Services</t>
  </si>
  <si>
    <t>Transport Services</t>
  </si>
  <si>
    <t>Agricultural Services</t>
  </si>
  <si>
    <t>Fisheries and Livestock</t>
  </si>
  <si>
    <t>Social Protection and Community Development</t>
  </si>
  <si>
    <t>as at 30-Jun- 2026</t>
  </si>
  <si>
    <t>2026  PERFORMANCE REPORT</t>
  </si>
  <si>
    <t>NAME: LUSAKA CITY COUNCIL</t>
  </si>
  <si>
    <t>Period: 01-Jan-2026 to 30-Jun-2026</t>
  </si>
  <si>
    <t>PROGRAMME / KEY OUTPUT / INDICATOR</t>
  </si>
  <si>
    <t>ANNUAL BUDGET (ZMW)</t>
  </si>
  <si>
    <t>TARGET 2026</t>
  </si>
  <si>
    <t>ACTUAL EXP. AS AT REPORT DATE (ZMW)</t>
  </si>
  <si>
    <t>ACTUAL 2026 (OUTPUT)</t>
  </si>
  <si>
    <t>Key Output / Output Indicator</t>
  </si>
  <si>
    <t>Annual Budget</t>
  </si>
  <si>
    <t>Target 2026</t>
  </si>
  <si>
    <t>Actual Expenditure (n/a by indicator)</t>
  </si>
  <si>
    <t>Actual 2026</t>
  </si>
  <si>
    <t>Road &amp; Drainage Infrastructure Improved</t>
  </si>
  <si>
    <t xml:space="preserve">    Kilometres of township roads paved</t>
  </si>
  <si>
    <t>15</t>
  </si>
  <si>
    <t>0</t>
  </si>
  <si>
    <t xml:space="preserve">    Kilometres of drainage systems constructed</t>
  </si>
  <si>
    <t>2</t>
  </si>
  <si>
    <t>Education Infrastructure Improved</t>
  </si>
  <si>
    <t xml:space="preserve">    Number of classroom blocks constructed</t>
  </si>
  <si>
    <t>6</t>
  </si>
  <si>
    <t>1</t>
  </si>
  <si>
    <t xml:space="preserve">    Number of School ablution blocks constructed</t>
  </si>
  <si>
    <t>4</t>
  </si>
  <si>
    <t>Health Infrastructure Developed</t>
  </si>
  <si>
    <t xml:space="preserve">    Number of Out-Patient Departments constructed</t>
  </si>
  <si>
    <t xml:space="preserve">    Number of maternity wings / annexes constructed</t>
  </si>
  <si>
    <t xml:space="preserve">    Number of hospital shelters constructed</t>
  </si>
  <si>
    <t>Security Infrastructure Improved</t>
  </si>
  <si>
    <t xml:space="preserve">    Number of police posts constructed</t>
  </si>
  <si>
    <t xml:space="preserve">    Number of police stations constructed</t>
  </si>
  <si>
    <t>Water Infrastructure Improved</t>
  </si>
  <si>
    <t xml:space="preserve">    Number of boreholes drilled</t>
  </si>
  <si>
    <t>9</t>
  </si>
  <si>
    <t xml:space="preserve">    Number of water reticulation systems installed</t>
  </si>
  <si>
    <t>Public Lighting and Energy Access Improved</t>
  </si>
  <si>
    <t xml:space="preserve">    Number of solar streetlights installed</t>
  </si>
  <si>
    <t>100</t>
  </si>
  <si>
    <t>90</t>
  </si>
  <si>
    <t xml:space="preserve">    Number of facilities powered by solar systems</t>
  </si>
  <si>
    <t>5</t>
  </si>
  <si>
    <t>Empowerment Loans and Grants Disbursed</t>
  </si>
  <si>
    <t xml:space="preserve">    Number of grants disbursed</t>
  </si>
  <si>
    <t>700</t>
  </si>
  <si>
    <t>563</t>
  </si>
  <si>
    <t xml:space="preserve">    Number of loans disbursed</t>
  </si>
  <si>
    <t>381</t>
  </si>
  <si>
    <t>CDF Programme Governance and Oversight Strengthened</t>
  </si>
  <si>
    <t xml:space="preserve">    Number of CDF projects monitored</t>
  </si>
  <si>
    <t>97</t>
  </si>
  <si>
    <t>24</t>
  </si>
  <si>
    <t>Secondary School and Skills Development Bursaries Disbursed</t>
  </si>
  <si>
    <t xml:space="preserve">    Number of skills development bursaries scholarships awarded</t>
  </si>
  <si>
    <t>5000</t>
  </si>
  <si>
    <t>4847</t>
  </si>
  <si>
    <t xml:space="preserve">    Number of secondary school bursaries scholarships awarded</t>
  </si>
  <si>
    <t>600</t>
  </si>
  <si>
    <t>721</t>
  </si>
  <si>
    <t>Ward Development Committee Operationalised</t>
  </si>
  <si>
    <t xml:space="preserve">    Number of ward development committees operationalised</t>
  </si>
  <si>
    <t>38</t>
  </si>
  <si>
    <t xml:space="preserve">    Number of Ward Development Committees trained</t>
  </si>
  <si>
    <t>Ward Development Committee Elections Conducted</t>
  </si>
  <si>
    <t xml:space="preserve">    Number of Ward Development Committee elections conducted</t>
  </si>
  <si>
    <t>Policies Formulated and Coordinated</t>
  </si>
  <si>
    <t xml:space="preserve">    Number of policies formulated</t>
  </si>
  <si>
    <t>Legislative Oversight Strengthened</t>
  </si>
  <si>
    <t xml:space="preserve">    Percentage of council resolutions implemented</t>
  </si>
  <si>
    <t>100%</t>
  </si>
  <si>
    <t>Council Resolutions Implemented</t>
  </si>
  <si>
    <t xml:space="preserve">    Number of full council meetings held</t>
  </si>
  <si>
    <t xml:space="preserve">    Number of Special Full Council meetings held</t>
  </si>
  <si>
    <t>By-laws Reviewed &amp; Updated</t>
  </si>
  <si>
    <t xml:space="preserve">    Number of by-laws reviewed &amp; updated</t>
  </si>
  <si>
    <t>Ward Development Fund Projects Implemented</t>
  </si>
  <si>
    <t xml:space="preserve">    Number of ward development fund projects completed</t>
  </si>
  <si>
    <t>14</t>
  </si>
  <si>
    <t>Civic Education Campaigns Implemented</t>
  </si>
  <si>
    <t xml:space="preserve">    Number of campaigns conducted</t>
  </si>
  <si>
    <t>Development Control on Permanent and Temporal Structures Conducted</t>
  </si>
  <si>
    <t xml:space="preserve">    Number of processed building plans approved</t>
  </si>
  <si>
    <t>1440</t>
  </si>
  <si>
    <t>565</t>
  </si>
  <si>
    <t xml:space="preserve">    Number of illegal structures demolished</t>
  </si>
  <si>
    <t>25</t>
  </si>
  <si>
    <t>Outdoor Advertisement and Planning Permissions Processed</t>
  </si>
  <si>
    <t xml:space="preserve">    Number of billboard applications processed</t>
  </si>
  <si>
    <t>60</t>
  </si>
  <si>
    <t>Land Survey and Mappings Conducted</t>
  </si>
  <si>
    <t xml:space="preserve">    Number of land boundary disputes applications processed</t>
  </si>
  <si>
    <t>65</t>
  </si>
  <si>
    <t xml:space="preserve">    Number of beacon identifications conducted</t>
  </si>
  <si>
    <t xml:space="preserve">    Number of maps and survey diagrams prepared</t>
  </si>
  <si>
    <t>80</t>
  </si>
  <si>
    <t>Local Area Plans Formulated</t>
  </si>
  <si>
    <t xml:space="preserve">    Number of Local Area Plans formulated</t>
  </si>
  <si>
    <t>Citizen Sensitisation on IDP Conducted</t>
  </si>
  <si>
    <t xml:space="preserve">    Number of Community Sensitisation Events conducted</t>
  </si>
  <si>
    <t>76</t>
  </si>
  <si>
    <t>11</t>
  </si>
  <si>
    <t>Stakeholder Engagement Conducted</t>
  </si>
  <si>
    <t xml:space="preserve">    Number of Stakeholder Meetings held</t>
  </si>
  <si>
    <t>16</t>
  </si>
  <si>
    <t>Community AIDS Task Forces (CATFs) Formed</t>
  </si>
  <si>
    <t xml:space="preserve">    Number of CATFs formed</t>
  </si>
  <si>
    <t>Tree Planting Conducted</t>
  </si>
  <si>
    <t xml:space="preserve">    Number of trees planted</t>
  </si>
  <si>
    <t>1472</t>
  </si>
  <si>
    <t>Environmental Policy Formulated</t>
  </si>
  <si>
    <t xml:space="preserve">    Number of environmental policy formulated</t>
  </si>
  <si>
    <t>Environmental Compliance Audits Conducted</t>
  </si>
  <si>
    <t xml:space="preserve">    Number of industries inspected</t>
  </si>
  <si>
    <t>576</t>
  </si>
  <si>
    <t>40</t>
  </si>
  <si>
    <t>Environmental Awareness Conducted</t>
  </si>
  <si>
    <t xml:space="preserve">    Number of Awareness Campaigns conducted</t>
  </si>
  <si>
    <t>48</t>
  </si>
  <si>
    <t>Business Registration and Compliance Enhanced</t>
  </si>
  <si>
    <t xml:space="preserve">    Number of sensitization meetings conducted</t>
  </si>
  <si>
    <t>7</t>
  </si>
  <si>
    <t>Investment Promotion Strengthened</t>
  </si>
  <si>
    <t xml:space="preserve">    Number of investment promotion exhibitions held</t>
  </si>
  <si>
    <t xml:space="preserve">    Percentage of investment inquiries facilitated</t>
  </si>
  <si>
    <t xml:space="preserve">    Number of investment feasibility studies conducted</t>
  </si>
  <si>
    <t>District Investment Feasibility Studies Conducted</t>
  </si>
  <si>
    <t xml:space="preserve">    Number of district investment feasibility studies conducted</t>
  </si>
  <si>
    <t>Public Health and Sanitation Operations Conducted</t>
  </si>
  <si>
    <t xml:space="preserve">    Number of Keep Lusaka Clean operations conducted</t>
  </si>
  <si>
    <t>364</t>
  </si>
  <si>
    <t>228</t>
  </si>
  <si>
    <t xml:space="preserve">    Number of Health permits issued</t>
  </si>
  <si>
    <t>13000</t>
  </si>
  <si>
    <t>8400</t>
  </si>
  <si>
    <t xml:space="preserve">    Number of public health inspections undertaken</t>
  </si>
  <si>
    <t>15000</t>
  </si>
  <si>
    <t>4000</t>
  </si>
  <si>
    <t>Safe Burial and Death Management Services Provided</t>
  </si>
  <si>
    <t xml:space="preserve">    Percentage of unclaimed bodies buried</t>
  </si>
  <si>
    <t xml:space="preserve">    Number of burial services conducted</t>
  </si>
  <si>
    <t>3498</t>
  </si>
  <si>
    <t>1899</t>
  </si>
  <si>
    <t xml:space="preserve">    Number of deaths registered</t>
  </si>
  <si>
    <t>17717</t>
  </si>
  <si>
    <t>8792</t>
  </si>
  <si>
    <t>Food and Water Safety Assured</t>
  </si>
  <si>
    <t xml:space="preserve">    Percentage of water samples tested</t>
  </si>
  <si>
    <t>50%</t>
  </si>
  <si>
    <t xml:space="preserve">    Percentage of food samples tested</t>
  </si>
  <si>
    <t xml:space="preserve">    Percentage of carcasses inspected</t>
  </si>
  <si>
    <t>Pest and Animal Control Services Provided</t>
  </si>
  <si>
    <t xml:space="preserve">    Number of mosquito hot spots larvicided</t>
  </si>
  <si>
    <t xml:space="preserve">    Number of dogs registered</t>
  </si>
  <si>
    <t>486</t>
  </si>
  <si>
    <t xml:space="preserve">    Number of dogs tagged</t>
  </si>
  <si>
    <t>200</t>
  </si>
  <si>
    <t xml:space="preserve">    Number of premises baited/sprayed</t>
  </si>
  <si>
    <t>265</t>
  </si>
  <si>
    <t>2633</t>
  </si>
  <si>
    <t>Urban Green Spaces Developed &amp; Maintained</t>
  </si>
  <si>
    <t xml:space="preserve">    Number of play parks developed</t>
  </si>
  <si>
    <t xml:space="preserve">    Number of tree trimming and debris removal exercises conducted</t>
  </si>
  <si>
    <t>168</t>
  </si>
  <si>
    <t>84</t>
  </si>
  <si>
    <t>Market Services &amp; Sanitation Improved</t>
  </si>
  <si>
    <t xml:space="preserve">    Number of market stands registered</t>
  </si>
  <si>
    <t>695</t>
  </si>
  <si>
    <t>396</t>
  </si>
  <si>
    <t xml:space="preserve">    Number of market shops registered</t>
  </si>
  <si>
    <t>215</t>
  </si>
  <si>
    <t>46</t>
  </si>
  <si>
    <t xml:space="preserve">    Number of occupancy permits renewed</t>
  </si>
  <si>
    <t>7000</t>
  </si>
  <si>
    <t>4200</t>
  </si>
  <si>
    <t xml:space="preserve">    Number of food systems trainings conducted</t>
  </si>
  <si>
    <t>Local Authority Infrastructure Constructed</t>
  </si>
  <si>
    <t xml:space="preserve">    Number of Community Halls rehabilitated</t>
  </si>
  <si>
    <t>8</t>
  </si>
  <si>
    <t xml:space="preserve">    Number of Community Schools rehabilitated</t>
  </si>
  <si>
    <t xml:space="preserve">    Number of Pre-Schools rehabilitated</t>
  </si>
  <si>
    <t xml:space="preserve">    Number of Classroom Blocks constructed</t>
  </si>
  <si>
    <t xml:space="preserve">    Number of School Ablution Blocks constructed</t>
  </si>
  <si>
    <t xml:space="preserve">    Number of Mini Civic Centres completed</t>
  </si>
  <si>
    <t>3</t>
  </si>
  <si>
    <t>Security of Tenure Strengthened</t>
  </si>
  <si>
    <t xml:space="preserve">    Number of properties numbered</t>
  </si>
  <si>
    <t>3585</t>
  </si>
  <si>
    <t xml:space="preserve">    Number of households registered</t>
  </si>
  <si>
    <t>5500</t>
  </si>
  <si>
    <t>2239</t>
  </si>
  <si>
    <t xml:space="preserve">    Number of Occupancy licence documents processed</t>
  </si>
  <si>
    <t>70</t>
  </si>
  <si>
    <t>45</t>
  </si>
  <si>
    <t xml:space="preserve">    Number of communities sensitized</t>
  </si>
  <si>
    <t>Road Infrastructure Developed and Maintained</t>
  </si>
  <si>
    <t xml:space="preserve">    Kilometers of roads marked</t>
  </si>
  <si>
    <t>50</t>
  </si>
  <si>
    <t xml:space="preserve">    Kilometers of drainage constructed</t>
  </si>
  <si>
    <t>10</t>
  </si>
  <si>
    <t xml:space="preserve">    Kilometers of Township roads rehabilitated</t>
  </si>
  <si>
    <t>30</t>
  </si>
  <si>
    <t xml:space="preserve">    Kilometers of potholes patched</t>
  </si>
  <si>
    <t>20</t>
  </si>
  <si>
    <t>Road Safety and Traffic Management Improved</t>
  </si>
  <si>
    <t xml:space="preserve">    Number of Speed Humps installed</t>
  </si>
  <si>
    <t xml:space="preserve">    Number of Road Signs installed</t>
  </si>
  <si>
    <t>96</t>
  </si>
  <si>
    <t>Non-Motorized Transport (NMT) Infrastructure Development and Maintenance Enhanced</t>
  </si>
  <si>
    <t xml:space="preserve">    Kilometers of pedestrian walkways constructed</t>
  </si>
  <si>
    <t xml:space="preserve">    Kilometers of pedestrian walkways maintained</t>
  </si>
  <si>
    <t xml:space="preserve">    Kilometers of cycle lanes constructed</t>
  </si>
  <si>
    <t>Street Lighting and Traffic Control Systems Improved</t>
  </si>
  <si>
    <t xml:space="preserve">    Number of Street lighting poles erected</t>
  </si>
  <si>
    <t>26</t>
  </si>
  <si>
    <t xml:space="preserve">    Number of traffic lights junctions maintained</t>
  </si>
  <si>
    <t>Library &amp; Information Services Enhanced</t>
  </si>
  <si>
    <t xml:space="preserve">    Number of Library Facilities upgraded</t>
  </si>
  <si>
    <t>Sports, Arts &amp; Cultural Development Promoted</t>
  </si>
  <si>
    <t xml:space="preserve">    Number of sports facilities rehabilitated</t>
  </si>
  <si>
    <t xml:space="preserve">    Number of talent identification and development activities conducted</t>
  </si>
  <si>
    <t xml:space="preserve">    Number of sports clubs sponsored</t>
  </si>
  <si>
    <t>District Records Management Strengthened</t>
  </si>
  <si>
    <t xml:space="preserve">    Number of survey reports produced</t>
  </si>
  <si>
    <t xml:space="preserve">    Percentage of records collected</t>
  </si>
  <si>
    <t xml:space="preserve">    Percentage of processed records shelved</t>
  </si>
  <si>
    <t>Quality Early Childhood Education Services Expanded</t>
  </si>
  <si>
    <t xml:space="preserve">    Number of play spaces established</t>
  </si>
  <si>
    <t xml:space="preserve">    Number of orphans and vulnerable pupils provided pre-school education</t>
  </si>
  <si>
    <t>886</t>
  </si>
  <si>
    <t xml:space="preserve">    Number of pre-school children enrolled</t>
  </si>
  <si>
    <t xml:space="preserve">    Number of learning kits &amp; materials provided</t>
  </si>
  <si>
    <t>1200</t>
  </si>
  <si>
    <t>900</t>
  </si>
  <si>
    <t>Community Safety and Security Enhanced</t>
  </si>
  <si>
    <t xml:space="preserve">    Number of compliance patrols undertaken</t>
  </si>
  <si>
    <t>365</t>
  </si>
  <si>
    <t>172</t>
  </si>
  <si>
    <t xml:space="preserve">    Number of Council Properties secured</t>
  </si>
  <si>
    <t>74</t>
  </si>
  <si>
    <t>Fire Safety and Emergency Response Strengthened</t>
  </si>
  <si>
    <t xml:space="preserve">    Percentage of emergency calls within 20-30 KM radius responded</t>
  </si>
  <si>
    <t xml:space="preserve">    Percentage of causes of fires determined</t>
  </si>
  <si>
    <t xml:space="preserve">    Number of fire certificates issued</t>
  </si>
  <si>
    <t>46000</t>
  </si>
  <si>
    <t>12149</t>
  </si>
  <si>
    <t>Change Management Strategy Executed</t>
  </si>
  <si>
    <t xml:space="preserve">    Percentage of municipal services accessed via digital platforms</t>
  </si>
  <si>
    <t>70%</t>
  </si>
  <si>
    <t>60%</t>
  </si>
  <si>
    <t xml:space="preserve">    Percentage of citizen engagements through digital platforms conducted</t>
  </si>
  <si>
    <t xml:space="preserve">    Percentage increase in digital revenue collection</t>
  </si>
  <si>
    <t>Human Resource Management Strengthened</t>
  </si>
  <si>
    <t xml:space="preserve">    Number of Council Police Officers recruited</t>
  </si>
  <si>
    <t xml:space="preserve">    Number of Human resource reports prepared</t>
  </si>
  <si>
    <t>12</t>
  </si>
  <si>
    <t>Marriages Solemnized</t>
  </si>
  <si>
    <t xml:space="preserve">    Percentage of marriages solemnized</t>
  </si>
  <si>
    <t>75%</t>
  </si>
  <si>
    <t>Public Engagement and Awareness Strengthened</t>
  </si>
  <si>
    <t xml:space="preserve">    Number of Local forums held</t>
  </si>
  <si>
    <t xml:space="preserve">    Number of media briefings held</t>
  </si>
  <si>
    <t>13</t>
  </si>
  <si>
    <t xml:space="preserve">    Number of Municipal campaigns conducted</t>
  </si>
  <si>
    <t>ICT Systems and Infrastructure Optimized</t>
  </si>
  <si>
    <t xml:space="preserve">    Percentage of ICT infrastructure maintained</t>
  </si>
  <si>
    <t xml:space="preserve">    Number of Enterprise Resource Planning System operationalized</t>
  </si>
  <si>
    <t>Financial Management and Reporting Strengthened</t>
  </si>
  <si>
    <t xml:space="preserve">    Number of Financial Statements prepared</t>
  </si>
  <si>
    <t xml:space="preserve">    Number of annual budgets prepared</t>
  </si>
  <si>
    <t xml:space="preserve">    Percentage of council debt liquidated</t>
  </si>
  <si>
    <t>8%</t>
  </si>
  <si>
    <t>5%</t>
  </si>
  <si>
    <t>Budget Performance and Accountability Monitored</t>
  </si>
  <si>
    <t xml:space="preserve">    Number of budget performance reports produced</t>
  </si>
  <si>
    <t xml:space="preserve">    Number of budget stakeholder meetings held</t>
  </si>
  <si>
    <t>Land and Property Administration Strengthened</t>
  </si>
  <si>
    <t xml:space="preserve">    Number of Title Deeds prepared</t>
  </si>
  <si>
    <t>150</t>
  </si>
  <si>
    <t>72</t>
  </si>
  <si>
    <t xml:space="preserve">    Number of Offer letters processed</t>
  </si>
  <si>
    <t xml:space="preserve">    Number of change of ownership documents processed</t>
  </si>
  <si>
    <t>500</t>
  </si>
  <si>
    <t>310</t>
  </si>
  <si>
    <t>Licensing and Compliance Services Strengthened</t>
  </si>
  <si>
    <t xml:space="preserve">    Number of business levies issued</t>
  </si>
  <si>
    <t>50000</t>
  </si>
  <si>
    <t>20971</t>
  </si>
  <si>
    <t xml:space="preserve">    Number of occupancy licenses prepared</t>
  </si>
  <si>
    <t>300</t>
  </si>
  <si>
    <t>169</t>
  </si>
  <si>
    <t xml:space="preserve">    Number of liquor licenses issued</t>
  </si>
  <si>
    <t>1000</t>
  </si>
  <si>
    <t>Procurement Processes Managed</t>
  </si>
  <si>
    <t xml:space="preserve">    Number of Procurement Plans developed</t>
  </si>
  <si>
    <t xml:space="preserve">    Percentage of tenders advertised and awarded</t>
  </si>
  <si>
    <t>74%</t>
  </si>
  <si>
    <t>Audit and Compliance Strengthened</t>
  </si>
  <si>
    <t xml:space="preserve">    Number of audit reports prepared</t>
  </si>
  <si>
    <t xml:space="preserve">    Percentage of audit recommendations actioned</t>
  </si>
  <si>
    <t>25%</t>
  </si>
  <si>
    <t>Revenue Collection Strengthened</t>
  </si>
  <si>
    <t xml:space="preserve">    Proportion of budgeted revenue collected (OSR)</t>
  </si>
  <si>
    <t>73%</t>
  </si>
  <si>
    <t xml:space="preserve">    Number of revenue check points manned (markets and parking areas)</t>
  </si>
  <si>
    <t>94</t>
  </si>
  <si>
    <t>Valuation Roll Updated</t>
  </si>
  <si>
    <t xml:space="preserve">    Percentage of valuation roll updated</t>
  </si>
  <si>
    <t>65%</t>
  </si>
  <si>
    <t>Childhood Immunization Services Provided</t>
  </si>
  <si>
    <t xml:space="preserve">    Percentage of children under one year fully vaccinated</t>
  </si>
  <si>
    <t>90%</t>
  </si>
  <si>
    <t>79.67%</t>
  </si>
  <si>
    <t>Maternal and Child Health Care Services Provided</t>
  </si>
  <si>
    <t xml:space="preserve">    Percentage of pregnant women receiving at least one antenatal care (ANC) visit</t>
  </si>
  <si>
    <t>67.59%</t>
  </si>
  <si>
    <t>Reproductive and Maternal Health Services Provided</t>
  </si>
  <si>
    <t xml:space="preserve">    Percentage of deliveries conducted in health facilities under skilled supervision</t>
  </si>
  <si>
    <t>87%</t>
  </si>
  <si>
    <t>98.67%</t>
  </si>
  <si>
    <t xml:space="preserve">    Number of new family planning acceptors recorded</t>
  </si>
  <si>
    <t>2000</t>
  </si>
  <si>
    <t>38.12%</t>
  </si>
  <si>
    <t>Malaria Prevention and Case Management Services Provided</t>
  </si>
  <si>
    <t xml:space="preserve">    Percentage of malaria inpatients who died due to malaria</t>
  </si>
  <si>
    <t>0%</t>
  </si>
  <si>
    <t>13%</t>
  </si>
  <si>
    <t>HIV Prevention, Testing, and Treatment Services Provided</t>
  </si>
  <si>
    <t xml:space="preserve">    Percentage of people living with HIV aware of their HIV status</t>
  </si>
  <si>
    <t>95%</t>
  </si>
  <si>
    <t xml:space="preserve">    Percentage of newly diagnosed HIV-positive individuals initiated on ART</t>
  </si>
  <si>
    <t>93.13%</t>
  </si>
  <si>
    <t>Nutrition Services Provided</t>
  </si>
  <si>
    <t xml:space="preserve">    Number of health facilities with functional nutrition equipment and tools</t>
  </si>
  <si>
    <t>Clean Water Supply and Sanitation Services Provided to Health Facilities</t>
  </si>
  <si>
    <t xml:space="preserve">    Number of health facilities with adequate clean and safe water supply</t>
  </si>
  <si>
    <t>66</t>
  </si>
  <si>
    <t xml:space="preserve">    Number of health facilities with functional waterborne toilet facilities</t>
  </si>
  <si>
    <t>Environmental Health Services Conducted</t>
  </si>
  <si>
    <t xml:space="preserve">    Number of premises inspected and found compliant with public health standards</t>
  </si>
  <si>
    <t>36250</t>
  </si>
  <si>
    <t>15427</t>
  </si>
  <si>
    <t xml:space="preserve">    Number of epidemic preparedness meetings conducted</t>
  </si>
  <si>
    <t>Health Promotion and Behavior Change Services Provided</t>
  </si>
  <si>
    <t xml:space="preserve">    Number of people reached through health education activities</t>
  </si>
  <si>
    <t>2000000</t>
  </si>
  <si>
    <t>1300000</t>
  </si>
  <si>
    <t xml:space="preserve">    Number of social and behavior change (SBC) materials distributed</t>
  </si>
  <si>
    <t>70000</t>
  </si>
  <si>
    <t>140000</t>
  </si>
  <si>
    <t>Community Engagement Strengthened</t>
  </si>
  <si>
    <t xml:space="preserve">    Number of stakeholder meetings held</t>
  </si>
  <si>
    <t>Referral System Strengthened</t>
  </si>
  <si>
    <t xml:space="preserve">    Percentage of cases referred</t>
  </si>
  <si>
    <t>Road Infrastructure Developed</t>
  </si>
  <si>
    <t xml:space="preserve">    Number of Road Signages installed</t>
  </si>
  <si>
    <t xml:space="preserve">    Kilometers of Road Markings painted</t>
  </si>
  <si>
    <t xml:space="preserve">    Kilometers of drainage rehabilitated</t>
  </si>
  <si>
    <t xml:space="preserve">    Kilometers of township roads rehabilitated</t>
  </si>
  <si>
    <t xml:space="preserve">    Number of Street Lights installed</t>
  </si>
  <si>
    <t>Farmers and Extension Officers Trained</t>
  </si>
  <si>
    <t xml:space="preserve">    Number of farmers trained</t>
  </si>
  <si>
    <t>3499</t>
  </si>
  <si>
    <t xml:space="preserve">    Number of extension officers trained</t>
  </si>
  <si>
    <t>Crop Monitoring Conducted</t>
  </si>
  <si>
    <t xml:space="preserve">    Number of crop monitoring inspections conducted</t>
  </si>
  <si>
    <t>32</t>
  </si>
  <si>
    <t>Agricultural Information Disseminated</t>
  </si>
  <si>
    <t xml:space="preserve">    Percentage of agricultural information disseminated</t>
  </si>
  <si>
    <t>45%</t>
  </si>
  <si>
    <t>Agricultural Show Exhibitions Conducted</t>
  </si>
  <si>
    <t xml:space="preserve">    Number of shows participated</t>
  </si>
  <si>
    <t>Entrepreneurship Development Promoted</t>
  </si>
  <si>
    <t xml:space="preserve">    Number of entrepreneurship trainings conducted</t>
  </si>
  <si>
    <t>Farmer Registration Facilitated</t>
  </si>
  <si>
    <t xml:space="preserve">    Number of farmers registered on ZIAMIS</t>
  </si>
  <si>
    <t>420</t>
  </si>
  <si>
    <t>Monitoring &amp; Evaluation of Agricultural Programmes Conducted</t>
  </si>
  <si>
    <t xml:space="preserve">    Number of Monitoring &amp; Evaluation reports produced</t>
  </si>
  <si>
    <t>Market access and entrepreneurship strengthened</t>
  </si>
  <si>
    <t xml:space="preserve">    Number of entrepreneurs trained</t>
  </si>
  <si>
    <t>41</t>
  </si>
  <si>
    <t>Livestock Health and Disease Control Improved</t>
  </si>
  <si>
    <t xml:space="preserve">    Number of disease surveillance conducted</t>
  </si>
  <si>
    <t>203</t>
  </si>
  <si>
    <t xml:space="preserve">    Number of stock movement permits issued</t>
  </si>
  <si>
    <t>3800</t>
  </si>
  <si>
    <t>1438</t>
  </si>
  <si>
    <t xml:space="preserve">    Number of export permits issued</t>
  </si>
  <si>
    <t>3500</t>
  </si>
  <si>
    <t>1987</t>
  </si>
  <si>
    <t xml:space="preserve">    Number of extension visits conducted</t>
  </si>
  <si>
    <t>36</t>
  </si>
  <si>
    <t>Capture Fisheries Productivity Improved</t>
  </si>
  <si>
    <t xml:space="preserve">    Number of surveillance and law enforcement operations conducted</t>
  </si>
  <si>
    <t>Aquaculture Productivity Improved</t>
  </si>
  <si>
    <t xml:space="preserve">    Number of sustainable fisheries practices promoted</t>
  </si>
  <si>
    <t>23</t>
  </si>
  <si>
    <t>Livestock Production Increased</t>
  </si>
  <si>
    <t>62</t>
  </si>
  <si>
    <t xml:space="preserve">    Number of extension trainings and demonstrations conducted</t>
  </si>
  <si>
    <t>Cash for Work Programme Implemented</t>
  </si>
  <si>
    <t xml:space="preserve">    Number of Cash for Work beneficiaries supported</t>
  </si>
  <si>
    <t>15379</t>
  </si>
  <si>
    <t xml:space="preserve">    Amount of Cash for Work funds disbursed (ZMW)</t>
  </si>
  <si>
    <t>59563160</t>
  </si>
  <si>
    <t>Welfare Services Provided</t>
  </si>
  <si>
    <t xml:space="preserve">    Number of households supported</t>
  </si>
  <si>
    <t>TOTAL — ALL PROGRAMMES</t>
  </si>
  <si>
    <t>Actual Output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</si>
</sst>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[$-409]d\-mmm\-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i/>
      <sz val="8"/>
      <color theme="1"/>
      <name val="Bookman Old Style"/>
      <family val="1"/>
    </font>
    <font>
      <b/>
      <sz val="11"/>
      <color rgb="FF004E9A"/>
      <name val="Bookman Old Style"/>
      <family val="1"/>
    </font>
    <font>
      <sz val="11"/>
      <color rgb="FFFF0000"/>
      <name val="Bookman Old Style"/>
      <family val="1"/>
    </font>
    <font>
      <b/>
      <sz val="12"/>
      <color rgb="FF004E9A"/>
      <name val="Bookman Old Style"/>
      <family val="1"/>
    </font>
    <font>
      <b/>
      <sz val="12"/>
      <color theme="1"/>
      <name val="Palatino Linotype"/>
      <family val="1"/>
    </font>
    <font>
      <sz val="12"/>
      <color theme="1"/>
      <name val="Palatino Linotype"/>
      <family val="1"/>
    </font>
    <font>
      <b/>
      <sz val="10"/>
      <name val="Palatino Linotype"/>
      <family val="1"/>
    </font>
    <font>
      <b/>
      <sz val="8"/>
      <name val="Palatino Linotype"/>
      <family val="1"/>
    </font>
    <font>
      <sz val="10"/>
      <name val="Palatino Linotype"/>
      <family val="1"/>
    </font>
    <font>
      <sz val="11"/>
      <color rgb="FF000000"/>
      <name val="Palatino Linotype"/>
      <family val="1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9"/>
      <color rgb="FFC00000"/>
      <name val="Arial"/>
      <family val="2"/>
    </font>
    <font>
      <sz val="9"/>
      <color rgb="FF006100"/>
      <name val="Arial"/>
      <family val="2"/>
    </font>
    <font>
      <sz val="11"/>
      <color theme="0"/>
      <name val="Calibri"/>
      <family val="2"/>
      <charset val="1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CC99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0" borderId="0" xfId="0" applyFont="1" applyProtection="1">
      <protection locked="0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1" xfId="0" applyFont="1" applyBorder="1"/>
    <xf numFmtId="164" fontId="2" fillId="0" borderId="1" xfId="1" applyFont="1" applyBorder="1"/>
    <xf numFmtId="0" fontId="2" fillId="0" borderId="1" xfId="0" applyFont="1" applyBorder="1"/>
    <xf numFmtId="164" fontId="2" fillId="0" borderId="1" xfId="1" applyFont="1" applyBorder="1" applyProtection="1">
      <protection locked="0"/>
    </xf>
    <xf numFmtId="9" fontId="2" fillId="0" borderId="1" xfId="2" applyFont="1" applyBorder="1"/>
    <xf numFmtId="0" fontId="3" fillId="3" borderId="1" xfId="0" applyFont="1" applyFill="1" applyBorder="1" applyAlignment="1">
      <alignment horizontal="center"/>
    </xf>
    <xf numFmtId="164" fontId="2" fillId="3" borderId="1" xfId="1" applyFont="1" applyFill="1" applyBorder="1"/>
    <xf numFmtId="0" fontId="6" fillId="0" borderId="1" xfId="0" applyFont="1" applyBorder="1"/>
    <xf numFmtId="0" fontId="3" fillId="4" borderId="1" xfId="0" applyFont="1" applyFill="1" applyBorder="1" applyAlignment="1">
      <alignment horizontal="center"/>
    </xf>
    <xf numFmtId="164" fontId="2" fillId="4" borderId="1" xfId="1" applyFont="1" applyFill="1" applyBorder="1"/>
    <xf numFmtId="0" fontId="2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64" fontId="3" fillId="5" borderId="1" xfId="1" applyFont="1" applyFill="1" applyBorder="1"/>
    <xf numFmtId="164" fontId="3" fillId="6" borderId="1" xfId="1" applyFont="1" applyFill="1" applyBorder="1"/>
    <xf numFmtId="9" fontId="3" fillId="7" borderId="1" xfId="2" applyFont="1" applyFill="1" applyBorder="1"/>
    <xf numFmtId="164" fontId="2" fillId="0" borderId="0" xfId="0" applyNumberFormat="1" applyFont="1"/>
    <xf numFmtId="0" fontId="7" fillId="0" borderId="0" xfId="0" applyFont="1"/>
    <xf numFmtId="0" fontId="2" fillId="8" borderId="1" xfId="0" applyFont="1" applyFill="1" applyBorder="1" applyAlignment="1">
      <alignment horizontal="center"/>
    </xf>
    <xf numFmtId="43" fontId="3" fillId="9" borderId="1" xfId="0" applyNumberFormat="1" applyFont="1" applyFill="1" applyBorder="1"/>
    <xf numFmtId="9" fontId="3" fillId="9" borderId="1" xfId="2" applyFont="1" applyFill="1" applyBorder="1"/>
    <xf numFmtId="0" fontId="8" fillId="0" borderId="0" xfId="0" applyFont="1"/>
    <xf numFmtId="0" fontId="9" fillId="0" borderId="0" xfId="0" applyFont="1"/>
    <xf numFmtId="165" fontId="11" fillId="11" borderId="8" xfId="0" applyNumberFormat="1" applyFont="1" applyFill="1" applyBorder="1" applyAlignment="1">
      <alignment horizontal="center" vertical="center" wrapText="1"/>
    </xf>
    <xf numFmtId="165" fontId="11" fillId="11" borderId="2" xfId="0" applyNumberFormat="1" applyFont="1" applyFill="1" applyBorder="1" applyAlignment="1">
      <alignment horizontal="center" vertical="center" wrapText="1"/>
    </xf>
    <xf numFmtId="166" fontId="10" fillId="11" borderId="4" xfId="0" applyNumberFormat="1" applyFont="1" applyFill="1" applyBorder="1" applyAlignment="1">
      <alignment horizontal="center"/>
    </xf>
    <xf numFmtId="166" fontId="10" fillId="11" borderId="3" xfId="0" applyNumberFormat="1" applyFont="1" applyFill="1" applyBorder="1" applyAlignment="1">
      <alignment horizontal="center"/>
    </xf>
    <xf numFmtId="165" fontId="12" fillId="11" borderId="5" xfId="0" applyNumberFormat="1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165" fontId="11" fillId="12" borderId="1" xfId="0" applyNumberFormat="1" applyFont="1" applyFill="1" applyBorder="1" applyAlignment="1">
      <alignment horizontal="center" vertical="center" wrapText="1"/>
    </xf>
    <xf numFmtId="164" fontId="13" fillId="0" borderId="6" xfId="1" applyFont="1" applyBorder="1"/>
    <xf numFmtId="164" fontId="13" fillId="0" borderId="6" xfId="1" applyFont="1" applyBorder="1" applyProtection="1">
      <protection locked="0"/>
    </xf>
    <xf numFmtId="164" fontId="13" fillId="0" borderId="1" xfId="1" applyFont="1" applyBorder="1" applyProtection="1">
      <protection locked="0"/>
    </xf>
    <xf numFmtId="164" fontId="13" fillId="0" borderId="1" xfId="1" applyFont="1" applyBorder="1"/>
    <xf numFmtId="0" fontId="8" fillId="0" borderId="1" xfId="0" applyFont="1" applyBorder="1" applyAlignment="1">
      <alignment horizontal="center"/>
    </xf>
    <xf numFmtId="43" fontId="9" fillId="0" borderId="1" xfId="0" applyNumberFormat="1" applyFont="1" applyBorder="1"/>
    <xf numFmtId="9" fontId="3" fillId="5" borderId="1" xfId="2" applyFont="1" applyFill="1" applyBorder="1"/>
    <xf numFmtId="9" fontId="3" fillId="4" borderId="1" xfId="2" applyFont="1" applyFill="1" applyBorder="1"/>
    <xf numFmtId="9" fontId="3" fillId="3" borderId="1" xfId="2" applyFont="1" applyFill="1" applyBorder="1"/>
    <xf numFmtId="43" fontId="2" fillId="0" borderId="0" xfId="0" applyNumberFormat="1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4" fillId="13" borderId="9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5" fillId="14" borderId="9" xfId="0" applyFont="1" applyFill="1" applyBorder="1"/>
    <xf numFmtId="3" fontId="14" fillId="14" borderId="9" xfId="0" applyNumberFormat="1" applyFont="1" applyFill="1" applyBorder="1"/>
    <xf numFmtId="0" fontId="0" fillId="14" borderId="9" xfId="0" applyFill="1" applyBorder="1"/>
    <xf numFmtId="0" fontId="16" fillId="15" borderId="9" xfId="0" applyFont="1" applyFill="1" applyBorder="1" applyAlignment="1">
      <alignment vertical="center" wrapText="1"/>
    </xf>
    <xf numFmtId="0" fontId="17" fillId="16" borderId="9" xfId="0" applyFont="1" applyFill="1" applyBorder="1"/>
    <xf numFmtId="0" fontId="17" fillId="16" borderId="10" xfId="0" applyFont="1" applyFill="1" applyBorder="1"/>
    <xf numFmtId="0" fontId="17" fillId="16" borderId="12" xfId="0" applyFont="1" applyFill="1" applyBorder="1"/>
    <xf numFmtId="0" fontId="17" fillId="16" borderId="11" xfId="0" applyFont="1" applyFill="1" applyBorder="1"/>
    <xf numFmtId="0" fontId="18" fillId="0" borderId="9" xfId="0" applyFont="1" applyBorder="1" applyAlignment="1">
      <alignment wrapText="1"/>
    </xf>
    <xf numFmtId="0" fontId="0" fillId="0" borderId="9" xfId="0" applyBorder="1"/>
    <xf numFmtId="0" fontId="18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9" fontId="1" fillId="0" borderId="9" xfId="2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1" fillId="14" borderId="9" xfId="0" applyFont="1" applyFill="1" applyBorder="1"/>
    <xf numFmtId="3" fontId="21" fillId="14" borderId="9" xfId="0" applyNumberFormat="1" applyFont="1" applyFill="1" applyBorder="1"/>
    <xf numFmtId="3" fontId="14" fillId="14" borderId="9" xfId="0" applyNumberFormat="1" applyFont="1" applyFill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3" fontId="19" fillId="0" borderId="9" xfId="0" applyNumberFormat="1" applyFont="1" applyBorder="1" applyAlignment="1">
      <alignment horizontal="center"/>
    </xf>
    <xf numFmtId="0" fontId="22" fillId="17" borderId="9" xfId="0" applyFont="1" applyFill="1" applyBorder="1"/>
    <xf numFmtId="3" fontId="22" fillId="17" borderId="9" xfId="0" applyNumberFormat="1" applyFont="1" applyFill="1" applyBorder="1"/>
    <xf numFmtId="0" fontId="0" fillId="17" borderId="9" xfId="0" applyFill="1" applyBorder="1"/>
    <xf numFmtId="9" fontId="1" fillId="18" borderId="9" xfId="2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FE74-4A56-47FA-B8B1-3F1CB434054E}">
  <dimension ref="B1:M389"/>
  <sheetViews>
    <sheetView tabSelected="1" workbookViewId="0">
      <selection activeCell="N82" sqref="N82"/>
    </sheetView>
  </sheetViews>
  <sheetFormatPr defaultColWidth="9.109375" defaultRowHeight="13.8" x14ac:dyDescent="0.25"/>
  <cols>
    <col min="1" max="1" width="2.33203125" style="1" customWidth="1"/>
    <col min="2" max="2" width="4.109375" style="1" customWidth="1"/>
    <col min="3" max="3" width="65.44140625" style="1" bestFit="1" customWidth="1"/>
    <col min="4" max="4" width="20.88671875" style="1" bestFit="1" customWidth="1"/>
    <col min="5" max="5" width="23.33203125" style="1" bestFit="1" customWidth="1"/>
    <col min="6" max="6" width="27.109375" style="1" bestFit="1" customWidth="1"/>
    <col min="7" max="7" width="15.109375" style="1" customWidth="1"/>
    <col min="8" max="8" width="19.6640625" style="1" bestFit="1" customWidth="1"/>
    <col min="9" max="9" width="16.6640625" style="1" customWidth="1"/>
    <col min="10" max="10" width="17.5546875" style="1" customWidth="1"/>
    <col min="11" max="11" width="11.44140625" style="1" customWidth="1"/>
    <col min="12" max="12" width="9.109375" style="1"/>
    <col min="13" max="13" width="11.6640625" style="1" customWidth="1"/>
    <col min="14" max="14" width="12.44140625" style="1" bestFit="1" customWidth="1"/>
    <col min="15" max="16384" width="9.109375" style="1"/>
  </cols>
  <sheetData>
    <row r="1" spans="2:13" x14ac:dyDescent="0.25">
      <c r="B1" s="2" t="s">
        <v>86</v>
      </c>
      <c r="E1" s="64"/>
      <c r="F1" s="64"/>
      <c r="I1" s="3"/>
      <c r="J1" s="3"/>
      <c r="L1" s="64"/>
      <c r="M1" s="64"/>
    </row>
    <row r="2" spans="2:13" x14ac:dyDescent="0.25">
      <c r="B2" s="3" t="s">
        <v>85</v>
      </c>
      <c r="E2" s="4" t="s">
        <v>87</v>
      </c>
      <c r="F2" s="5"/>
      <c r="I2" s="3"/>
      <c r="J2" s="3"/>
      <c r="L2" s="5"/>
      <c r="M2" s="5"/>
    </row>
    <row r="3" spans="2:13" x14ac:dyDescent="0.25">
      <c r="B3" s="4" t="s">
        <v>0</v>
      </c>
    </row>
    <row r="4" spans="2:13" x14ac:dyDescent="0.25">
      <c r="B4" s="62" t="s">
        <v>1</v>
      </c>
      <c r="C4" s="63" t="s">
        <v>2</v>
      </c>
      <c r="D4" s="52" t="s">
        <v>3</v>
      </c>
      <c r="E4" s="6" t="s">
        <v>4</v>
      </c>
      <c r="F4" s="52" t="s">
        <v>5</v>
      </c>
      <c r="G4" s="52" t="s">
        <v>6</v>
      </c>
    </row>
    <row r="5" spans="2:13" x14ac:dyDescent="0.25">
      <c r="B5" s="62"/>
      <c r="C5" s="63"/>
      <c r="D5" s="53"/>
      <c r="E5" s="7" t="s">
        <v>84</v>
      </c>
      <c r="F5" s="53"/>
      <c r="G5" s="53"/>
    </row>
    <row r="6" spans="2:13" x14ac:dyDescent="0.25">
      <c r="B6" s="62"/>
      <c r="C6" s="63"/>
      <c r="D6" s="8" t="s">
        <v>7</v>
      </c>
      <c r="E6" s="7" t="s">
        <v>8</v>
      </c>
      <c r="F6" s="9" t="s">
        <v>9</v>
      </c>
      <c r="G6" s="7" t="s">
        <v>10</v>
      </c>
    </row>
    <row r="7" spans="2:13" x14ac:dyDescent="0.25">
      <c r="B7" s="62"/>
      <c r="C7" s="63"/>
      <c r="D7" s="10" t="s">
        <v>11</v>
      </c>
      <c r="E7" s="11" t="s">
        <v>11</v>
      </c>
      <c r="F7" s="12" t="s">
        <v>11</v>
      </c>
      <c r="G7" s="11" t="s">
        <v>12</v>
      </c>
    </row>
    <row r="8" spans="2:13" x14ac:dyDescent="0.25">
      <c r="B8" s="58">
        <v>1</v>
      </c>
      <c r="C8" s="13" t="s">
        <v>13</v>
      </c>
      <c r="D8" s="14"/>
      <c r="E8" s="14"/>
      <c r="F8" s="14"/>
      <c r="G8" s="14"/>
    </row>
    <row r="9" spans="2:13" x14ac:dyDescent="0.25">
      <c r="B9" s="58"/>
      <c r="C9" s="15" t="s">
        <v>14</v>
      </c>
      <c r="D9" s="16">
        <v>32400000</v>
      </c>
      <c r="E9" s="16">
        <v>0</v>
      </c>
      <c r="F9" s="14">
        <f>D9-E9</f>
        <v>32400000</v>
      </c>
      <c r="G9" s="17">
        <f>E9/D9</f>
        <v>0</v>
      </c>
    </row>
    <row r="10" spans="2:13" x14ac:dyDescent="0.25">
      <c r="B10" s="58"/>
      <c r="C10" s="15" t="s">
        <v>15</v>
      </c>
      <c r="D10" s="16">
        <v>2000000</v>
      </c>
      <c r="E10" s="16">
        <v>0</v>
      </c>
      <c r="F10" s="14">
        <f t="shared" ref="F10:F14" si="0">D10-E10</f>
        <v>2000000</v>
      </c>
      <c r="G10" s="17">
        <f t="shared" ref="G10:G11" si="1">E10/D10</f>
        <v>0</v>
      </c>
    </row>
    <row r="11" spans="2:13" x14ac:dyDescent="0.25">
      <c r="B11" s="58"/>
      <c r="C11" s="15" t="s">
        <v>16</v>
      </c>
      <c r="D11" s="16">
        <v>33486606</v>
      </c>
      <c r="E11" s="16">
        <v>3022899</v>
      </c>
      <c r="F11" s="14">
        <f t="shared" si="0"/>
        <v>30463707</v>
      </c>
      <c r="G11" s="17">
        <f t="shared" si="1"/>
        <v>9.0271883630129612E-2</v>
      </c>
    </row>
    <row r="12" spans="2:13" x14ac:dyDescent="0.25">
      <c r="B12" s="58"/>
      <c r="C12" s="15" t="s">
        <v>17</v>
      </c>
      <c r="D12" s="16">
        <v>0</v>
      </c>
      <c r="E12" s="16">
        <v>0</v>
      </c>
      <c r="F12" s="14">
        <f t="shared" si="0"/>
        <v>0</v>
      </c>
      <c r="G12" s="17">
        <f>IFERROR(E12/D12,0)</f>
        <v>0</v>
      </c>
    </row>
    <row r="13" spans="2:13" x14ac:dyDescent="0.25">
      <c r="B13" s="58"/>
      <c r="C13" s="15" t="s">
        <v>18</v>
      </c>
      <c r="D13" s="16">
        <v>280227849</v>
      </c>
      <c r="E13" s="16">
        <v>94769234</v>
      </c>
      <c r="F13" s="14">
        <f t="shared" si="0"/>
        <v>185458615</v>
      </c>
      <c r="G13" s="17">
        <f t="shared" ref="G13:G14" si="2">IFERROR(E13/D13,0)</f>
        <v>0.33818635206381648</v>
      </c>
    </row>
    <row r="14" spans="2:13" x14ac:dyDescent="0.25">
      <c r="B14" s="58"/>
      <c r="C14" s="15" t="s">
        <v>19</v>
      </c>
      <c r="D14" s="16">
        <v>59563160</v>
      </c>
      <c r="E14" s="16">
        <v>70072789</v>
      </c>
      <c r="F14" s="14">
        <f t="shared" si="0"/>
        <v>-10509629</v>
      </c>
      <c r="G14" s="17">
        <f t="shared" si="2"/>
        <v>1.1764451214475524</v>
      </c>
    </row>
    <row r="15" spans="2:13" x14ac:dyDescent="0.25">
      <c r="B15" s="58"/>
      <c r="C15" s="18" t="s">
        <v>20</v>
      </c>
      <c r="D15" s="19">
        <f>SUM(D9:D14)</f>
        <v>407677615</v>
      </c>
      <c r="E15" s="19">
        <f t="shared" ref="E15:F15" si="3">SUM(E9:E14)</f>
        <v>167864922</v>
      </c>
      <c r="F15" s="19">
        <f t="shared" si="3"/>
        <v>239812693</v>
      </c>
      <c r="G15" s="50">
        <f>E15/D15</f>
        <v>0.41175898755196555</v>
      </c>
    </row>
    <row r="16" spans="2:13" x14ac:dyDescent="0.25">
      <c r="B16" s="59">
        <v>2</v>
      </c>
      <c r="C16" s="13" t="s">
        <v>21</v>
      </c>
      <c r="D16" s="14"/>
      <c r="E16" s="14"/>
      <c r="F16" s="14"/>
      <c r="G16" s="17"/>
    </row>
    <row r="17" spans="2:7" x14ac:dyDescent="0.25">
      <c r="B17" s="59"/>
      <c r="C17" s="15" t="s">
        <v>22</v>
      </c>
      <c r="D17" s="16">
        <v>430562099</v>
      </c>
      <c r="E17" s="16">
        <v>113685851.17999998</v>
      </c>
      <c r="F17" s="14">
        <f t="shared" ref="F17:F23" si="4">D17-E17</f>
        <v>316876247.82000005</v>
      </c>
      <c r="G17" s="17">
        <f t="shared" ref="G17:G23" si="5">E17/D17</f>
        <v>0.26404054477632966</v>
      </c>
    </row>
    <row r="18" spans="2:7" x14ac:dyDescent="0.25">
      <c r="B18" s="59"/>
      <c r="C18" s="15" t="s">
        <v>23</v>
      </c>
      <c r="D18" s="16">
        <v>113446369</v>
      </c>
      <c r="E18" s="16">
        <v>58118960</v>
      </c>
      <c r="F18" s="14">
        <f t="shared" si="4"/>
        <v>55327409</v>
      </c>
      <c r="G18" s="17">
        <f t="shared" si="5"/>
        <v>0.51230339509588008</v>
      </c>
    </row>
    <row r="19" spans="2:7" x14ac:dyDescent="0.25">
      <c r="B19" s="59"/>
      <c r="C19" s="15" t="s">
        <v>24</v>
      </c>
      <c r="D19" s="16">
        <v>6495717</v>
      </c>
      <c r="E19" s="16">
        <v>3474059</v>
      </c>
      <c r="F19" s="14">
        <f t="shared" si="4"/>
        <v>3021658</v>
      </c>
      <c r="G19" s="17">
        <f t="shared" si="5"/>
        <v>0.534823022616287</v>
      </c>
    </row>
    <row r="20" spans="2:7" x14ac:dyDescent="0.25">
      <c r="B20" s="59"/>
      <c r="C20" s="15" t="s">
        <v>25</v>
      </c>
      <c r="D20" s="16">
        <v>65727602</v>
      </c>
      <c r="E20" s="16">
        <v>27261879</v>
      </c>
      <c r="F20" s="14">
        <f t="shared" si="4"/>
        <v>38465723</v>
      </c>
      <c r="G20" s="17">
        <f t="shared" si="5"/>
        <v>0.41477063167465017</v>
      </c>
    </row>
    <row r="21" spans="2:7" x14ac:dyDescent="0.25">
      <c r="B21" s="59"/>
      <c r="C21" s="15" t="s">
        <v>26</v>
      </c>
      <c r="D21" s="16">
        <v>93423792</v>
      </c>
      <c r="E21" s="16">
        <v>43734213</v>
      </c>
      <c r="F21" s="14">
        <f t="shared" si="4"/>
        <v>49689579</v>
      </c>
      <c r="G21" s="17">
        <f t="shared" si="5"/>
        <v>0.46812714474274392</v>
      </c>
    </row>
    <row r="22" spans="2:7" x14ac:dyDescent="0.25">
      <c r="B22" s="59"/>
      <c r="C22" s="15" t="s">
        <v>27</v>
      </c>
      <c r="D22" s="16">
        <v>16606500</v>
      </c>
      <c r="E22" s="16">
        <v>3000000</v>
      </c>
      <c r="F22" s="14">
        <f t="shared" si="4"/>
        <v>13606500</v>
      </c>
      <c r="G22" s="17">
        <f t="shared" si="5"/>
        <v>0.18065215427693976</v>
      </c>
    </row>
    <row r="23" spans="2:7" x14ac:dyDescent="0.25">
      <c r="B23" s="59"/>
      <c r="C23" s="20" t="s">
        <v>28</v>
      </c>
      <c r="D23" s="16">
        <v>18055000</v>
      </c>
      <c r="E23" s="16">
        <v>2483963</v>
      </c>
      <c r="F23" s="14">
        <f t="shared" si="4"/>
        <v>15571037</v>
      </c>
      <c r="G23" s="17">
        <f t="shared" si="5"/>
        <v>0.13757756854057049</v>
      </c>
    </row>
    <row r="24" spans="2:7" x14ac:dyDescent="0.25">
      <c r="B24" s="59"/>
      <c r="C24" s="21" t="s">
        <v>20</v>
      </c>
      <c r="D24" s="22">
        <f t="shared" ref="D24:F24" si="6">SUM(D17:D23)</f>
        <v>744317079</v>
      </c>
      <c r="E24" s="22">
        <f t="shared" si="6"/>
        <v>251758925.17999998</v>
      </c>
      <c r="F24" s="22">
        <f t="shared" si="6"/>
        <v>492558153.82000005</v>
      </c>
      <c r="G24" s="49">
        <f>E24/D24</f>
        <v>0.33824149987024543</v>
      </c>
    </row>
    <row r="25" spans="2:7" x14ac:dyDescent="0.25">
      <c r="B25" s="60">
        <v>3</v>
      </c>
      <c r="C25" s="13" t="s">
        <v>29</v>
      </c>
      <c r="D25" s="14"/>
      <c r="E25" s="14"/>
      <c r="F25" s="14"/>
      <c r="G25" s="14"/>
    </row>
    <row r="26" spans="2:7" x14ac:dyDescent="0.25">
      <c r="B26" s="60"/>
      <c r="C26" s="15" t="s">
        <v>30</v>
      </c>
      <c r="D26" s="16">
        <v>0</v>
      </c>
      <c r="E26" s="16">
        <v>0</v>
      </c>
      <c r="F26" s="14">
        <v>0</v>
      </c>
      <c r="G26" s="17">
        <f>IFERROR(E26/D26,0)</f>
        <v>0</v>
      </c>
    </row>
    <row r="27" spans="2:7" x14ac:dyDescent="0.25">
      <c r="B27" s="60"/>
      <c r="C27" s="15" t="s">
        <v>31</v>
      </c>
      <c r="D27" s="16">
        <v>0</v>
      </c>
      <c r="E27" s="16">
        <v>0</v>
      </c>
      <c r="F27" s="14">
        <v>0</v>
      </c>
      <c r="G27" s="17">
        <f t="shared" ref="G27:G29" si="7">IFERROR(E27/D27,0)</f>
        <v>0</v>
      </c>
    </row>
    <row r="28" spans="2:7" x14ac:dyDescent="0.25">
      <c r="B28" s="60"/>
      <c r="C28" s="23" t="s">
        <v>32</v>
      </c>
      <c r="D28" s="16">
        <v>0</v>
      </c>
      <c r="E28" s="16">
        <v>0</v>
      </c>
      <c r="F28" s="14">
        <v>0</v>
      </c>
      <c r="G28" s="17">
        <f t="shared" si="7"/>
        <v>0</v>
      </c>
    </row>
    <row r="29" spans="2:7" x14ac:dyDescent="0.25">
      <c r="B29" s="60"/>
      <c r="C29" s="23" t="s">
        <v>33</v>
      </c>
      <c r="D29" s="16">
        <v>0</v>
      </c>
      <c r="E29" s="16">
        <v>0</v>
      </c>
      <c r="F29" s="14">
        <v>0</v>
      </c>
      <c r="G29" s="17">
        <f t="shared" si="7"/>
        <v>0</v>
      </c>
    </row>
    <row r="30" spans="2:7" x14ac:dyDescent="0.25">
      <c r="B30" s="60"/>
      <c r="C30" s="24" t="s">
        <v>20</v>
      </c>
      <c r="D30" s="25">
        <f>SUM(D26:D29)</f>
        <v>0</v>
      </c>
      <c r="E30" s="25">
        <f>SUM(E26:E29)</f>
        <v>0</v>
      </c>
      <c r="F30" s="25">
        <f>SUM(F26:F29)</f>
        <v>0</v>
      </c>
      <c r="G30" s="48">
        <f>IFERROR(E30/D30,0)</f>
        <v>0</v>
      </c>
    </row>
    <row r="31" spans="2:7" x14ac:dyDescent="0.25">
      <c r="B31" s="61" t="s">
        <v>34</v>
      </c>
      <c r="C31" s="61"/>
      <c r="D31" s="26">
        <f>D15+D24+D30</f>
        <v>1151994694</v>
      </c>
      <c r="E31" s="26">
        <f t="shared" ref="E31:F31" si="8">E15+E24+E30</f>
        <v>419623847.17999995</v>
      </c>
      <c r="F31" s="26">
        <f t="shared" si="8"/>
        <v>732370846.82000005</v>
      </c>
      <c r="G31" s="27">
        <f>E31/D31</f>
        <v>0.36425848952738316</v>
      </c>
    </row>
    <row r="32" spans="2:7" x14ac:dyDescent="0.25">
      <c r="E32" s="28"/>
    </row>
    <row r="33" spans="2:7" ht="15.6" x14ac:dyDescent="0.3">
      <c r="B33" s="29" t="s">
        <v>35</v>
      </c>
    </row>
    <row r="34" spans="2:7" x14ac:dyDescent="0.25">
      <c r="B34" s="62" t="s">
        <v>1</v>
      </c>
      <c r="C34" s="63" t="s">
        <v>36</v>
      </c>
      <c r="D34" s="52" t="s">
        <v>3</v>
      </c>
      <c r="E34" s="6" t="s">
        <v>4</v>
      </c>
      <c r="F34" s="52" t="s">
        <v>5</v>
      </c>
      <c r="G34" s="52" t="s">
        <v>6</v>
      </c>
    </row>
    <row r="35" spans="2:7" x14ac:dyDescent="0.25">
      <c r="B35" s="62"/>
      <c r="C35" s="63"/>
      <c r="D35" s="53"/>
      <c r="E35" s="7" t="s">
        <v>84</v>
      </c>
      <c r="F35" s="53"/>
      <c r="G35" s="53"/>
    </row>
    <row r="36" spans="2:7" x14ac:dyDescent="0.25">
      <c r="B36" s="62"/>
      <c r="C36" s="63"/>
      <c r="D36" s="8" t="s">
        <v>7</v>
      </c>
      <c r="E36" s="7" t="s">
        <v>8</v>
      </c>
      <c r="F36" s="9" t="s">
        <v>9</v>
      </c>
      <c r="G36" s="7" t="s">
        <v>10</v>
      </c>
    </row>
    <row r="37" spans="2:7" x14ac:dyDescent="0.25">
      <c r="B37" s="62"/>
      <c r="C37" s="63"/>
      <c r="D37" s="10" t="s">
        <v>11</v>
      </c>
      <c r="E37" s="11" t="s">
        <v>11</v>
      </c>
      <c r="F37" s="12" t="s">
        <v>11</v>
      </c>
      <c r="G37" s="11" t="s">
        <v>12</v>
      </c>
    </row>
    <row r="38" spans="2:7" x14ac:dyDescent="0.25">
      <c r="B38" s="30">
        <v>1</v>
      </c>
      <c r="C38" s="15" t="s">
        <v>37</v>
      </c>
      <c r="D38" s="16">
        <v>308215045</v>
      </c>
      <c r="E38" s="16">
        <v>163308295.01000002</v>
      </c>
      <c r="F38" s="14">
        <f>D38-E38</f>
        <v>144906749.98999998</v>
      </c>
      <c r="G38" s="17">
        <f t="shared" ref="G38:G39" si="9">E38/D38</f>
        <v>0.52985179555397766</v>
      </c>
    </row>
    <row r="39" spans="2:7" x14ac:dyDescent="0.25">
      <c r="B39" s="30">
        <v>2</v>
      </c>
      <c r="C39" s="15" t="s">
        <v>38</v>
      </c>
      <c r="D39" s="16">
        <v>308441876</v>
      </c>
      <c r="E39" s="16">
        <v>59610341.609999999</v>
      </c>
      <c r="F39" s="14">
        <f t="shared" ref="F39:F45" si="10">D39-E39</f>
        <v>248831534.38999999</v>
      </c>
      <c r="G39" s="17">
        <f t="shared" si="9"/>
        <v>0.19326280329717616</v>
      </c>
    </row>
    <row r="40" spans="2:7" x14ac:dyDescent="0.25">
      <c r="B40" s="30">
        <v>3</v>
      </c>
      <c r="C40" s="15" t="s">
        <v>39</v>
      </c>
      <c r="D40" s="16">
        <v>0</v>
      </c>
      <c r="E40" s="16">
        <v>0</v>
      </c>
      <c r="F40" s="14">
        <f t="shared" si="10"/>
        <v>0</v>
      </c>
      <c r="G40" s="17">
        <f>IFERROR(E40/D40,0)</f>
        <v>0</v>
      </c>
    </row>
    <row r="41" spans="2:7" x14ac:dyDescent="0.25">
      <c r="B41" s="30">
        <v>4</v>
      </c>
      <c r="C41" s="15" t="s">
        <v>40</v>
      </c>
      <c r="D41" s="16">
        <v>123936977</v>
      </c>
      <c r="E41" s="16">
        <v>59410765.019999988</v>
      </c>
      <c r="F41" s="14">
        <f t="shared" si="10"/>
        <v>64526211.980000012</v>
      </c>
      <c r="G41" s="17">
        <f t="shared" ref="G41:G45" si="11">IFERROR(E41/D41,0)</f>
        <v>0.47936270883870263</v>
      </c>
    </row>
    <row r="42" spans="2:7" x14ac:dyDescent="0.25">
      <c r="B42" s="30">
        <v>5</v>
      </c>
      <c r="C42" s="15" t="s">
        <v>41</v>
      </c>
      <c r="D42" s="16">
        <v>332565437</v>
      </c>
      <c r="E42" s="16">
        <v>61032984.219999999</v>
      </c>
      <c r="F42" s="14">
        <f t="shared" si="10"/>
        <v>271532452.77999997</v>
      </c>
      <c r="G42" s="17">
        <f t="shared" si="11"/>
        <v>0.18352172964985533</v>
      </c>
    </row>
    <row r="43" spans="2:7" x14ac:dyDescent="0.25">
      <c r="B43" s="30">
        <v>6</v>
      </c>
      <c r="C43" s="15" t="s">
        <v>42</v>
      </c>
      <c r="D43" s="16">
        <v>29636525</v>
      </c>
      <c r="E43" s="16">
        <v>227855</v>
      </c>
      <c r="F43" s="14">
        <f t="shared" si="10"/>
        <v>29408670</v>
      </c>
      <c r="G43" s="17">
        <f t="shared" si="11"/>
        <v>7.6883170344701343E-3</v>
      </c>
    </row>
    <row r="44" spans="2:7" x14ac:dyDescent="0.25">
      <c r="B44" s="30">
        <v>7</v>
      </c>
      <c r="C44" s="15" t="s">
        <v>43</v>
      </c>
      <c r="D44" s="16">
        <v>0</v>
      </c>
      <c r="E44" s="16">
        <v>0</v>
      </c>
      <c r="F44" s="14">
        <f t="shared" si="10"/>
        <v>0</v>
      </c>
      <c r="G44" s="17">
        <f t="shared" si="11"/>
        <v>0</v>
      </c>
    </row>
    <row r="45" spans="2:7" x14ac:dyDescent="0.25">
      <c r="B45" s="30">
        <v>8</v>
      </c>
      <c r="C45" s="15" t="s">
        <v>44</v>
      </c>
      <c r="D45" s="16">
        <v>49198834</v>
      </c>
      <c r="E45" s="16">
        <v>30956339.309999999</v>
      </c>
      <c r="F45" s="14">
        <f t="shared" si="10"/>
        <v>18242494.690000001</v>
      </c>
      <c r="G45" s="17">
        <f t="shared" si="11"/>
        <v>0.62920880015164582</v>
      </c>
    </row>
    <row r="46" spans="2:7" x14ac:dyDescent="0.25">
      <c r="B46" s="54" t="s">
        <v>45</v>
      </c>
      <c r="C46" s="54"/>
      <c r="D46" s="31">
        <f>SUM(D38:D45)</f>
        <v>1151994694</v>
      </c>
      <c r="E46" s="31">
        <f>SUM(E38:E45)</f>
        <v>374546580.17000002</v>
      </c>
      <c r="F46" s="31">
        <f>SUM(F38:F45)</f>
        <v>777448113.83000004</v>
      </c>
      <c r="G46" s="32">
        <f>E46/D46</f>
        <v>0.32512873724225677</v>
      </c>
    </row>
    <row r="48" spans="2:7" x14ac:dyDescent="0.25">
      <c r="B48" s="54" t="s">
        <v>46</v>
      </c>
      <c r="C48" s="54"/>
      <c r="D48" s="31">
        <f>D31-D46</f>
        <v>0</v>
      </c>
      <c r="E48" s="31">
        <f t="shared" ref="E48" si="12">E31-E46</f>
        <v>45077267.009999931</v>
      </c>
      <c r="F48" s="31">
        <v>0</v>
      </c>
      <c r="G48" s="32"/>
    </row>
    <row r="50" spans="3:7" ht="17.399999999999999" x14ac:dyDescent="0.4">
      <c r="C50" s="33" t="s">
        <v>47</v>
      </c>
      <c r="D50" s="34"/>
      <c r="E50" s="34"/>
    </row>
    <row r="51" spans="3:7" ht="24" x14ac:dyDescent="0.25">
      <c r="C51" s="55" t="s">
        <v>48</v>
      </c>
      <c r="D51" s="35" t="s">
        <v>49</v>
      </c>
      <c r="E51" s="36" t="s">
        <v>49</v>
      </c>
      <c r="G51" s="51"/>
    </row>
    <row r="52" spans="3:7" ht="15" x14ac:dyDescent="0.35">
      <c r="C52" s="56"/>
      <c r="D52" s="37">
        <v>46023</v>
      </c>
      <c r="E52" s="38">
        <v>46203</v>
      </c>
    </row>
    <row r="53" spans="3:7" ht="15.6" x14ac:dyDescent="0.35">
      <c r="C53" s="57"/>
      <c r="D53" s="39" t="s">
        <v>11</v>
      </c>
      <c r="E53" s="40" t="s">
        <v>11</v>
      </c>
    </row>
    <row r="54" spans="3:7" ht="15.6" x14ac:dyDescent="0.35">
      <c r="C54" s="41" t="s">
        <v>50</v>
      </c>
      <c r="D54" s="42">
        <v>43115587</v>
      </c>
      <c r="E54" s="43">
        <v>36366697</v>
      </c>
    </row>
    <row r="55" spans="3:7" ht="15.6" x14ac:dyDescent="0.35">
      <c r="C55" s="41" t="s">
        <v>51</v>
      </c>
      <c r="D55" s="44">
        <v>665782</v>
      </c>
      <c r="E55" s="44">
        <v>665782</v>
      </c>
    </row>
    <row r="56" spans="3:7" ht="15.6" x14ac:dyDescent="0.35">
      <c r="C56" s="41" t="s">
        <v>52</v>
      </c>
      <c r="D56" s="44">
        <v>8556627</v>
      </c>
      <c r="E56" s="44">
        <v>8556627</v>
      </c>
    </row>
    <row r="57" spans="3:7" ht="15.6" x14ac:dyDescent="0.35">
      <c r="C57" s="41" t="s">
        <v>53</v>
      </c>
      <c r="D57" s="45">
        <v>8272063</v>
      </c>
      <c r="E57" s="44">
        <v>8394665</v>
      </c>
    </row>
    <row r="58" spans="3:7" ht="15.6" x14ac:dyDescent="0.35">
      <c r="C58" s="41" t="s">
        <v>54</v>
      </c>
      <c r="D58" s="45">
        <v>1417085</v>
      </c>
      <c r="E58" s="44">
        <v>622027</v>
      </c>
    </row>
    <row r="59" spans="3:7" ht="15.6" x14ac:dyDescent="0.35">
      <c r="C59" s="41" t="s">
        <v>55</v>
      </c>
      <c r="D59" s="45">
        <v>491519925</v>
      </c>
      <c r="E59" s="44">
        <v>491530235</v>
      </c>
    </row>
    <row r="60" spans="3:7" ht="15.6" x14ac:dyDescent="0.35">
      <c r="C60" s="41" t="s">
        <v>56</v>
      </c>
      <c r="D60" s="44">
        <v>0</v>
      </c>
      <c r="E60" s="44">
        <v>0</v>
      </c>
    </row>
    <row r="61" spans="3:7" ht="15.6" x14ac:dyDescent="0.35">
      <c r="C61" s="41" t="s">
        <v>57</v>
      </c>
      <c r="D61" s="45">
        <v>43637735</v>
      </c>
      <c r="E61" s="44">
        <v>38934225</v>
      </c>
    </row>
    <row r="62" spans="3:7" ht="15.6" x14ac:dyDescent="0.35">
      <c r="C62" s="41" t="s">
        <v>58</v>
      </c>
      <c r="D62" s="44">
        <v>0</v>
      </c>
      <c r="E62" s="44">
        <v>0</v>
      </c>
    </row>
    <row r="63" spans="3:7" ht="15.6" x14ac:dyDescent="0.35">
      <c r="C63" s="41" t="s">
        <v>59</v>
      </c>
      <c r="D63" s="44">
        <v>0</v>
      </c>
      <c r="E63" s="44">
        <v>0</v>
      </c>
    </row>
    <row r="64" spans="3:7" ht="15.6" x14ac:dyDescent="0.35">
      <c r="C64" s="41" t="s">
        <v>60</v>
      </c>
      <c r="D64" s="44">
        <v>0</v>
      </c>
      <c r="E64" s="44">
        <v>0</v>
      </c>
    </row>
    <row r="65" spans="2:10" ht="15.6" x14ac:dyDescent="0.35">
      <c r="C65" s="41" t="s">
        <v>61</v>
      </c>
      <c r="D65" s="45">
        <v>242201985</v>
      </c>
      <c r="E65" s="44">
        <v>254867369</v>
      </c>
    </row>
    <row r="66" spans="2:10" ht="15.6" x14ac:dyDescent="0.35">
      <c r="C66" s="41" t="s">
        <v>62</v>
      </c>
      <c r="D66" s="45">
        <v>0</v>
      </c>
      <c r="E66" s="44">
        <v>0</v>
      </c>
    </row>
    <row r="67" spans="2:10" ht="15.6" x14ac:dyDescent="0.35">
      <c r="C67" s="41" t="s">
        <v>63</v>
      </c>
      <c r="D67" s="45">
        <v>9280120</v>
      </c>
      <c r="E67" s="44">
        <v>11713946</v>
      </c>
    </row>
    <row r="68" spans="2:10" ht="15.6" x14ac:dyDescent="0.35">
      <c r="C68" s="41" t="s">
        <v>64</v>
      </c>
      <c r="D68" s="44">
        <v>7129828</v>
      </c>
      <c r="E68" s="44">
        <v>20556029.99700002</v>
      </c>
    </row>
    <row r="69" spans="2:10" ht="17.399999999999999" x14ac:dyDescent="0.4">
      <c r="C69" s="46" t="s">
        <v>34</v>
      </c>
      <c r="D69" s="47">
        <f>SUM(D54:D68)</f>
        <v>855796737</v>
      </c>
      <c r="E69" s="47">
        <f>SUM(E54:E68)</f>
        <v>872207602.99699998</v>
      </c>
      <c r="F69" s="51"/>
      <c r="G69" s="51"/>
    </row>
    <row r="70" spans="2:10" ht="17.399999999999999" x14ac:dyDescent="0.4">
      <c r="C70" s="34"/>
      <c r="D70" s="34"/>
      <c r="E70" s="34"/>
    </row>
    <row r="72" spans="2:10" x14ac:dyDescent="0.25">
      <c r="C72" s="3" t="s">
        <v>65</v>
      </c>
    </row>
    <row r="73" spans="2:10" ht="26.4" x14ac:dyDescent="0.25">
      <c r="C73" s="65" t="s">
        <v>88</v>
      </c>
      <c r="D73" s="65" t="s">
        <v>89</v>
      </c>
      <c r="E73" s="65" t="s">
        <v>90</v>
      </c>
      <c r="F73" s="65" t="s">
        <v>91</v>
      </c>
      <c r="G73" s="65" t="s">
        <v>92</v>
      </c>
      <c r="H73" s="66" t="s">
        <v>67</v>
      </c>
      <c r="I73" s="67"/>
      <c r="J73" s="65" t="s">
        <v>70</v>
      </c>
    </row>
    <row r="74" spans="2:10" ht="14.4" x14ac:dyDescent="0.3">
      <c r="C74" s="68" t="s">
        <v>66</v>
      </c>
      <c r="D74" s="69">
        <v>280227849</v>
      </c>
      <c r="E74" s="70"/>
      <c r="F74" s="69">
        <v>74809937.829999998</v>
      </c>
      <c r="G74" s="69"/>
      <c r="H74" s="69">
        <f>F74-D74</f>
        <v>-205417911.17000002</v>
      </c>
      <c r="I74" s="69"/>
      <c r="J74" s="69"/>
    </row>
    <row r="75" spans="2:10" ht="24" x14ac:dyDescent="0.25">
      <c r="C75" s="71" t="s">
        <v>93</v>
      </c>
      <c r="D75" s="71" t="s">
        <v>94</v>
      </c>
      <c r="E75" s="71" t="s">
        <v>95</v>
      </c>
      <c r="F75" s="71" t="s">
        <v>96</v>
      </c>
      <c r="G75" s="71" t="s">
        <v>97</v>
      </c>
      <c r="H75" s="71" t="s">
        <v>94</v>
      </c>
      <c r="I75" s="71" t="s">
        <v>493</v>
      </c>
      <c r="J75" s="71" t="s">
        <v>6</v>
      </c>
    </row>
    <row r="76" spans="2:10" x14ac:dyDescent="0.25">
      <c r="C76" s="72" t="s">
        <v>98</v>
      </c>
      <c r="D76" s="72"/>
      <c r="E76" s="72"/>
      <c r="F76" s="72"/>
      <c r="G76" s="72"/>
      <c r="H76" s="73"/>
      <c r="I76" s="74"/>
      <c r="J76" s="75"/>
    </row>
    <row r="77" spans="2:10" ht="14.4" x14ac:dyDescent="0.3">
      <c r="B77" s="3"/>
      <c r="C77" s="76" t="s">
        <v>99</v>
      </c>
      <c r="D77" s="77"/>
      <c r="E77" s="78" t="s">
        <v>100</v>
      </c>
      <c r="F77" s="77"/>
      <c r="G77" s="79" t="s">
        <v>101</v>
      </c>
      <c r="H77" s="79" t="s">
        <v>101</v>
      </c>
      <c r="I77" s="79">
        <f>G77-E77</f>
        <v>-15</v>
      </c>
      <c r="J77" s="80">
        <f>G77/E77</f>
        <v>0</v>
      </c>
    </row>
    <row r="78" spans="2:10" ht="14.4" x14ac:dyDescent="0.3">
      <c r="C78" s="76" t="s">
        <v>102</v>
      </c>
      <c r="D78" s="77"/>
      <c r="E78" s="78" t="s">
        <v>103</v>
      </c>
      <c r="F78" s="77"/>
      <c r="G78" s="79" t="s">
        <v>101</v>
      </c>
      <c r="H78" s="79" t="s">
        <v>101</v>
      </c>
      <c r="I78" s="79">
        <f>G78-E78</f>
        <v>-2</v>
      </c>
      <c r="J78" s="80">
        <f>G78/E78</f>
        <v>0</v>
      </c>
    </row>
    <row r="79" spans="2:10" x14ac:dyDescent="0.25">
      <c r="C79" s="72" t="s">
        <v>104</v>
      </c>
      <c r="D79" s="72"/>
      <c r="E79" s="72"/>
      <c r="F79" s="72"/>
      <c r="G79" s="72"/>
      <c r="H79" s="73"/>
      <c r="I79" s="74"/>
      <c r="J79" s="75"/>
    </row>
    <row r="80" spans="2:10" ht="14.4" x14ac:dyDescent="0.3">
      <c r="C80" s="76" t="s">
        <v>105</v>
      </c>
      <c r="D80" s="77"/>
      <c r="E80" s="78" t="s">
        <v>106</v>
      </c>
      <c r="F80" s="77"/>
      <c r="G80" s="79" t="s">
        <v>107</v>
      </c>
      <c r="H80" s="79" t="s">
        <v>101</v>
      </c>
      <c r="I80" s="79">
        <f t="shared" ref="I80:I81" si="13">G80-E80</f>
        <v>-5</v>
      </c>
      <c r="J80" s="80">
        <f t="shared" ref="J80:J81" si="14">G80/E80</f>
        <v>0.16666666666666666</v>
      </c>
    </row>
    <row r="81" spans="3:10" ht="14.4" x14ac:dyDescent="0.3">
      <c r="C81" s="76" t="s">
        <v>108</v>
      </c>
      <c r="D81" s="77"/>
      <c r="E81" s="78" t="s">
        <v>109</v>
      </c>
      <c r="F81" s="77"/>
      <c r="G81" s="79" t="s">
        <v>107</v>
      </c>
      <c r="H81" s="79" t="s">
        <v>101</v>
      </c>
      <c r="I81" s="79">
        <f t="shared" si="13"/>
        <v>-3</v>
      </c>
      <c r="J81" s="80">
        <f t="shared" si="14"/>
        <v>0.25</v>
      </c>
    </row>
    <row r="82" spans="3:10" x14ac:dyDescent="0.25">
      <c r="C82" s="72" t="s">
        <v>110</v>
      </c>
      <c r="D82" s="72"/>
      <c r="E82" s="72"/>
      <c r="F82" s="72"/>
      <c r="G82" s="72"/>
      <c r="H82" s="73"/>
      <c r="I82" s="74"/>
      <c r="J82" s="75"/>
    </row>
    <row r="83" spans="3:10" ht="14.4" x14ac:dyDescent="0.3">
      <c r="C83" s="76" t="s">
        <v>111</v>
      </c>
      <c r="D83" s="77"/>
      <c r="E83" s="78" t="s">
        <v>107</v>
      </c>
      <c r="F83" s="77"/>
      <c r="G83" s="79" t="s">
        <v>101</v>
      </c>
      <c r="H83" s="79" t="s">
        <v>101</v>
      </c>
      <c r="I83" s="79">
        <f t="shared" ref="I83:I85" si="15">G83-E83</f>
        <v>-1</v>
      </c>
      <c r="J83" s="80">
        <f t="shared" ref="J83:J85" si="16">G83/E83</f>
        <v>0</v>
      </c>
    </row>
    <row r="84" spans="3:10" ht="14.4" x14ac:dyDescent="0.3">
      <c r="C84" s="76" t="s">
        <v>112</v>
      </c>
      <c r="D84" s="77"/>
      <c r="E84" s="78" t="s">
        <v>103</v>
      </c>
      <c r="F84" s="77"/>
      <c r="G84" s="79" t="s">
        <v>101</v>
      </c>
      <c r="H84" s="79" t="s">
        <v>101</v>
      </c>
      <c r="I84" s="79">
        <f t="shared" si="15"/>
        <v>-2</v>
      </c>
      <c r="J84" s="80">
        <f t="shared" si="16"/>
        <v>0</v>
      </c>
    </row>
    <row r="85" spans="3:10" ht="14.4" x14ac:dyDescent="0.3">
      <c r="C85" s="76" t="s">
        <v>113</v>
      </c>
      <c r="D85" s="77"/>
      <c r="E85" s="78" t="s">
        <v>107</v>
      </c>
      <c r="F85" s="77"/>
      <c r="G85" s="79" t="s">
        <v>101</v>
      </c>
      <c r="H85" s="79" t="s">
        <v>101</v>
      </c>
      <c r="I85" s="79">
        <f t="shared" si="15"/>
        <v>-1</v>
      </c>
      <c r="J85" s="80">
        <f t="shared" si="16"/>
        <v>0</v>
      </c>
    </row>
    <row r="86" spans="3:10" x14ac:dyDescent="0.25">
      <c r="C86" s="72" t="s">
        <v>114</v>
      </c>
      <c r="D86" s="72"/>
      <c r="E86" s="72"/>
      <c r="F86" s="72"/>
      <c r="G86" s="72"/>
      <c r="H86" s="73"/>
      <c r="I86" s="74"/>
      <c r="J86" s="75"/>
    </row>
    <row r="87" spans="3:10" ht="14.4" x14ac:dyDescent="0.3">
      <c r="C87" s="76" t="s">
        <v>115</v>
      </c>
      <c r="D87" s="77"/>
      <c r="E87" s="78" t="s">
        <v>109</v>
      </c>
      <c r="F87" s="77"/>
      <c r="G87" s="79" t="s">
        <v>101</v>
      </c>
      <c r="H87" s="79" t="s">
        <v>101</v>
      </c>
      <c r="I87" s="79">
        <f t="shared" ref="I87:I88" si="17">G87-E87</f>
        <v>-4</v>
      </c>
      <c r="J87" s="80">
        <f t="shared" ref="J87:J88" si="18">G87/E87</f>
        <v>0</v>
      </c>
    </row>
    <row r="88" spans="3:10" ht="14.4" x14ac:dyDescent="0.3">
      <c r="C88" s="76" t="s">
        <v>116</v>
      </c>
      <c r="D88" s="77"/>
      <c r="E88" s="78" t="s">
        <v>107</v>
      </c>
      <c r="F88" s="77"/>
      <c r="G88" s="79" t="s">
        <v>101</v>
      </c>
      <c r="H88" s="79" t="s">
        <v>101</v>
      </c>
      <c r="I88" s="79">
        <f t="shared" si="17"/>
        <v>-1</v>
      </c>
      <c r="J88" s="80">
        <f t="shared" si="18"/>
        <v>0</v>
      </c>
    </row>
    <row r="89" spans="3:10" x14ac:dyDescent="0.25">
      <c r="C89" s="72" t="s">
        <v>117</v>
      </c>
      <c r="D89" s="72"/>
      <c r="E89" s="72"/>
      <c r="F89" s="72"/>
      <c r="G89" s="72"/>
      <c r="H89" s="73"/>
      <c r="I89" s="74"/>
      <c r="J89" s="75"/>
    </row>
    <row r="90" spans="3:10" ht="14.4" x14ac:dyDescent="0.3">
      <c r="C90" s="76" t="s">
        <v>118</v>
      </c>
      <c r="D90" s="77"/>
      <c r="E90" s="78" t="s">
        <v>119</v>
      </c>
      <c r="F90" s="77"/>
      <c r="G90" s="79" t="s">
        <v>101</v>
      </c>
      <c r="H90" s="79" t="s">
        <v>101</v>
      </c>
      <c r="I90" s="79">
        <f t="shared" ref="I90:I91" si="19">G90-E90</f>
        <v>-9</v>
      </c>
      <c r="J90" s="80">
        <f t="shared" ref="J90:J91" si="20">G90/E90</f>
        <v>0</v>
      </c>
    </row>
    <row r="91" spans="3:10" ht="14.4" x14ac:dyDescent="0.3">
      <c r="C91" s="76" t="s">
        <v>120</v>
      </c>
      <c r="D91" s="77"/>
      <c r="E91" s="78" t="s">
        <v>107</v>
      </c>
      <c r="F91" s="77"/>
      <c r="G91" s="79" t="s">
        <v>101</v>
      </c>
      <c r="H91" s="79" t="s">
        <v>101</v>
      </c>
      <c r="I91" s="79">
        <f t="shared" si="19"/>
        <v>-1</v>
      </c>
      <c r="J91" s="80">
        <f t="shared" si="20"/>
        <v>0</v>
      </c>
    </row>
    <row r="92" spans="3:10" x14ac:dyDescent="0.25">
      <c r="C92" s="72" t="s">
        <v>121</v>
      </c>
      <c r="D92" s="72"/>
      <c r="E92" s="72"/>
      <c r="F92" s="72"/>
      <c r="G92" s="72"/>
      <c r="H92" s="73"/>
      <c r="I92" s="74"/>
      <c r="J92" s="75"/>
    </row>
    <row r="93" spans="3:10" ht="14.4" x14ac:dyDescent="0.3">
      <c r="C93" s="76" t="s">
        <v>122</v>
      </c>
      <c r="D93" s="77"/>
      <c r="E93" s="78" t="s">
        <v>123</v>
      </c>
      <c r="F93" s="77"/>
      <c r="G93" s="79" t="s">
        <v>124</v>
      </c>
      <c r="H93" s="79" t="s">
        <v>101</v>
      </c>
      <c r="I93" s="79">
        <f t="shared" ref="I93:I94" si="21">G93-E93</f>
        <v>-10</v>
      </c>
      <c r="J93" s="80">
        <f t="shared" ref="J93:J94" si="22">G93/E93</f>
        <v>0.9</v>
      </c>
    </row>
    <row r="94" spans="3:10" ht="14.4" x14ac:dyDescent="0.3">
      <c r="C94" s="76" t="s">
        <v>125</v>
      </c>
      <c r="D94" s="77"/>
      <c r="E94" s="78" t="s">
        <v>126</v>
      </c>
      <c r="F94" s="77"/>
      <c r="G94" s="79" t="s">
        <v>101</v>
      </c>
      <c r="H94" s="79" t="s">
        <v>101</v>
      </c>
      <c r="I94" s="79">
        <f t="shared" si="21"/>
        <v>-5</v>
      </c>
      <c r="J94" s="80">
        <f t="shared" si="22"/>
        <v>0</v>
      </c>
    </row>
    <row r="95" spans="3:10" x14ac:dyDescent="0.25">
      <c r="C95" s="72" t="s">
        <v>127</v>
      </c>
      <c r="D95" s="72"/>
      <c r="E95" s="72"/>
      <c r="F95" s="72"/>
      <c r="G95" s="72"/>
      <c r="H95" s="73"/>
      <c r="I95" s="74"/>
      <c r="J95" s="75"/>
    </row>
    <row r="96" spans="3:10" ht="14.4" x14ac:dyDescent="0.3">
      <c r="C96" s="76" t="s">
        <v>128</v>
      </c>
      <c r="D96" s="77"/>
      <c r="E96" s="78" t="s">
        <v>129</v>
      </c>
      <c r="F96" s="77"/>
      <c r="G96" s="79" t="s">
        <v>130</v>
      </c>
      <c r="H96" s="79" t="s">
        <v>101</v>
      </c>
      <c r="I96" s="79">
        <f t="shared" ref="I96:I97" si="23">G96-E96</f>
        <v>-137</v>
      </c>
      <c r="J96" s="80">
        <f t="shared" ref="J96:J97" si="24">G96/E96</f>
        <v>0.80428571428571427</v>
      </c>
    </row>
    <row r="97" spans="3:10" ht="14.4" x14ac:dyDescent="0.3">
      <c r="C97" s="76" t="s">
        <v>131</v>
      </c>
      <c r="D97" s="77"/>
      <c r="E97" s="78" t="s">
        <v>132</v>
      </c>
      <c r="F97" s="77"/>
      <c r="G97" s="79" t="s">
        <v>101</v>
      </c>
      <c r="H97" s="79" t="s">
        <v>101</v>
      </c>
      <c r="I97" s="79">
        <f t="shared" si="23"/>
        <v>-381</v>
      </c>
      <c r="J97" s="80">
        <f t="shared" si="24"/>
        <v>0</v>
      </c>
    </row>
    <row r="98" spans="3:10" x14ac:dyDescent="0.25">
      <c r="C98" s="72" t="s">
        <v>133</v>
      </c>
      <c r="D98" s="72"/>
      <c r="E98" s="72"/>
      <c r="F98" s="72"/>
      <c r="G98" s="72"/>
      <c r="H98" s="73"/>
      <c r="I98" s="74"/>
      <c r="J98" s="75"/>
    </row>
    <row r="99" spans="3:10" ht="14.4" x14ac:dyDescent="0.3">
      <c r="C99" s="76" t="s">
        <v>134</v>
      </c>
      <c r="D99" s="77"/>
      <c r="E99" s="78" t="s">
        <v>135</v>
      </c>
      <c r="F99" s="77"/>
      <c r="G99" s="79" t="s">
        <v>136</v>
      </c>
      <c r="H99" s="79" t="s">
        <v>101</v>
      </c>
      <c r="I99" s="79">
        <f>G99-E99</f>
        <v>-73</v>
      </c>
      <c r="J99" s="80">
        <f>G99/E99</f>
        <v>0.24742268041237114</v>
      </c>
    </row>
    <row r="100" spans="3:10" x14ac:dyDescent="0.25">
      <c r="C100" s="72" t="s">
        <v>137</v>
      </c>
      <c r="D100" s="72"/>
      <c r="E100" s="72"/>
      <c r="F100" s="72"/>
      <c r="G100" s="72"/>
      <c r="H100" s="73"/>
      <c r="I100" s="74"/>
      <c r="J100" s="75"/>
    </row>
    <row r="101" spans="3:10" ht="14.4" x14ac:dyDescent="0.3">
      <c r="C101" s="76" t="s">
        <v>138</v>
      </c>
      <c r="D101" s="77"/>
      <c r="E101" s="78" t="s">
        <v>139</v>
      </c>
      <c r="F101" s="77"/>
      <c r="G101" s="79" t="s">
        <v>140</v>
      </c>
      <c r="H101" s="79" t="s">
        <v>101</v>
      </c>
      <c r="I101" s="79">
        <f t="shared" ref="I101:I102" si="25">G101-E101</f>
        <v>-153</v>
      </c>
      <c r="J101" s="80">
        <f t="shared" ref="J101:J102" si="26">G101/E101</f>
        <v>0.96940000000000004</v>
      </c>
    </row>
    <row r="102" spans="3:10" ht="14.4" x14ac:dyDescent="0.3">
      <c r="C102" s="76" t="s">
        <v>141</v>
      </c>
      <c r="D102" s="77"/>
      <c r="E102" s="78" t="s">
        <v>142</v>
      </c>
      <c r="F102" s="77"/>
      <c r="G102" s="81" t="s">
        <v>143</v>
      </c>
      <c r="H102" s="79" t="s">
        <v>101</v>
      </c>
      <c r="I102" s="79">
        <f t="shared" si="25"/>
        <v>121</v>
      </c>
      <c r="J102" s="80">
        <f t="shared" si="26"/>
        <v>1.2016666666666667</v>
      </c>
    </row>
    <row r="103" spans="3:10" ht="14.4" x14ac:dyDescent="0.3">
      <c r="C103"/>
      <c r="D103"/>
      <c r="E103"/>
      <c r="F103"/>
      <c r="G103"/>
      <c r="H103"/>
      <c r="I103"/>
      <c r="J103"/>
    </row>
    <row r="104" spans="3:10" ht="14.4" x14ac:dyDescent="0.3">
      <c r="C104" s="68" t="s">
        <v>68</v>
      </c>
      <c r="D104" s="69">
        <v>28813631</v>
      </c>
      <c r="E104" s="70"/>
      <c r="F104" s="69">
        <v>8691555.6699999999</v>
      </c>
      <c r="G104" s="82"/>
      <c r="H104" s="83">
        <f>F104-D104</f>
        <v>-20122075.329999998</v>
      </c>
      <c r="I104" s="82"/>
      <c r="J104" s="82"/>
    </row>
    <row r="105" spans="3:10" ht="24" x14ac:dyDescent="0.25">
      <c r="C105" s="71" t="s">
        <v>93</v>
      </c>
      <c r="D105" s="71" t="s">
        <v>94</v>
      </c>
      <c r="E105" s="71" t="s">
        <v>95</v>
      </c>
      <c r="F105" s="71" t="s">
        <v>96</v>
      </c>
      <c r="G105" s="71" t="s">
        <v>97</v>
      </c>
      <c r="H105" s="71" t="s">
        <v>97</v>
      </c>
      <c r="I105" s="71" t="s">
        <v>97</v>
      </c>
      <c r="J105" s="71" t="s">
        <v>97</v>
      </c>
    </row>
    <row r="106" spans="3:10" x14ac:dyDescent="0.25">
      <c r="C106" s="72" t="s">
        <v>144</v>
      </c>
      <c r="D106" s="72"/>
      <c r="E106" s="72"/>
      <c r="F106" s="72"/>
      <c r="G106" s="72"/>
      <c r="H106" s="73"/>
      <c r="I106" s="74"/>
      <c r="J106" s="75"/>
    </row>
    <row r="107" spans="3:10" ht="14.4" x14ac:dyDescent="0.3">
      <c r="C107" s="76" t="s">
        <v>145</v>
      </c>
      <c r="D107" s="77"/>
      <c r="E107" s="78" t="s">
        <v>146</v>
      </c>
      <c r="F107" s="77"/>
      <c r="G107" s="79" t="s">
        <v>101</v>
      </c>
      <c r="H107" s="79" t="s">
        <v>101</v>
      </c>
      <c r="I107" s="79">
        <f t="shared" ref="I107:I108" si="27">G107-E107</f>
        <v>-38</v>
      </c>
      <c r="J107" s="80">
        <f t="shared" ref="J107:J108" si="28">G107/E107</f>
        <v>0</v>
      </c>
    </row>
    <row r="108" spans="3:10" ht="14.4" x14ac:dyDescent="0.3">
      <c r="C108" s="76" t="s">
        <v>147</v>
      </c>
      <c r="D108" s="77"/>
      <c r="E108" s="78" t="s">
        <v>146</v>
      </c>
      <c r="F108" s="77"/>
      <c r="G108" s="79" t="s">
        <v>101</v>
      </c>
      <c r="H108" s="79" t="s">
        <v>101</v>
      </c>
      <c r="I108" s="79">
        <f t="shared" si="27"/>
        <v>-38</v>
      </c>
      <c r="J108" s="80">
        <f t="shared" si="28"/>
        <v>0</v>
      </c>
    </row>
    <row r="109" spans="3:10" x14ac:dyDescent="0.25">
      <c r="C109" s="72" t="s">
        <v>148</v>
      </c>
      <c r="D109" s="72"/>
      <c r="E109" s="72"/>
      <c r="F109" s="72"/>
      <c r="G109" s="72"/>
      <c r="H109" s="73"/>
      <c r="I109" s="74"/>
      <c r="J109" s="75"/>
    </row>
    <row r="110" spans="3:10" ht="14.4" x14ac:dyDescent="0.3">
      <c r="C110" s="76" t="s">
        <v>149</v>
      </c>
      <c r="D110" s="77"/>
      <c r="E110" s="78" t="s">
        <v>146</v>
      </c>
      <c r="F110" s="77"/>
      <c r="G110" s="79" t="s">
        <v>101</v>
      </c>
      <c r="H110" s="79" t="s">
        <v>101</v>
      </c>
      <c r="I110" s="79">
        <f>G110-E110</f>
        <v>-38</v>
      </c>
      <c r="J110" s="80">
        <f>G110/E110</f>
        <v>0</v>
      </c>
    </row>
    <row r="111" spans="3:10" x14ac:dyDescent="0.25">
      <c r="C111" s="72" t="s">
        <v>150</v>
      </c>
      <c r="D111" s="72"/>
      <c r="E111" s="72"/>
      <c r="F111" s="72"/>
      <c r="G111" s="72"/>
      <c r="H111" s="73"/>
      <c r="I111" s="74"/>
      <c r="J111" s="75"/>
    </row>
    <row r="112" spans="3:10" ht="14.4" x14ac:dyDescent="0.3">
      <c r="C112" s="76" t="s">
        <v>151</v>
      </c>
      <c r="D112" s="77"/>
      <c r="E112" s="78" t="s">
        <v>103</v>
      </c>
      <c r="F112" s="77"/>
      <c r="G112" s="79" t="s">
        <v>101</v>
      </c>
      <c r="H112" s="79" t="s">
        <v>101</v>
      </c>
      <c r="I112" s="79">
        <f>G112-E112</f>
        <v>-2</v>
      </c>
      <c r="J112" s="80">
        <f>G112/E112</f>
        <v>0</v>
      </c>
    </row>
    <row r="113" spans="3:10" x14ac:dyDescent="0.25">
      <c r="C113" s="72" t="s">
        <v>152</v>
      </c>
      <c r="D113" s="72"/>
      <c r="E113" s="72"/>
      <c r="F113" s="72"/>
      <c r="G113" s="72"/>
      <c r="H113" s="73"/>
      <c r="I113" s="74"/>
      <c r="J113" s="75"/>
    </row>
    <row r="114" spans="3:10" ht="14.4" x14ac:dyDescent="0.3">
      <c r="C114" s="76" t="s">
        <v>153</v>
      </c>
      <c r="D114" s="77"/>
      <c r="E114" s="78" t="s">
        <v>154</v>
      </c>
      <c r="F114" s="77"/>
      <c r="G114" s="81" t="s">
        <v>154</v>
      </c>
      <c r="H114" s="79" t="s">
        <v>101</v>
      </c>
      <c r="I114" s="79">
        <f>G114-E114</f>
        <v>0</v>
      </c>
      <c r="J114" s="80">
        <f>G114/E114</f>
        <v>1</v>
      </c>
    </row>
    <row r="115" spans="3:10" x14ac:dyDescent="0.25">
      <c r="C115" s="72" t="s">
        <v>155</v>
      </c>
      <c r="D115" s="72"/>
      <c r="E115" s="72"/>
      <c r="F115" s="72"/>
      <c r="G115" s="72"/>
      <c r="H115" s="73"/>
      <c r="I115" s="74"/>
      <c r="J115" s="75"/>
    </row>
    <row r="116" spans="3:10" ht="14.4" x14ac:dyDescent="0.3">
      <c r="C116" s="76" t="s">
        <v>156</v>
      </c>
      <c r="D116" s="77"/>
      <c r="E116" s="78" t="s">
        <v>109</v>
      </c>
      <c r="F116" s="77"/>
      <c r="G116" s="79" t="s">
        <v>107</v>
      </c>
      <c r="H116" s="79" t="s">
        <v>101</v>
      </c>
      <c r="I116" s="79">
        <f t="shared" ref="I116:I117" si="29">G116-E116</f>
        <v>-3</v>
      </c>
      <c r="J116" s="80">
        <f t="shared" ref="J116:J117" si="30">G116/E116</f>
        <v>0.25</v>
      </c>
    </row>
    <row r="117" spans="3:10" ht="14.4" x14ac:dyDescent="0.3">
      <c r="C117" s="76" t="s">
        <v>157</v>
      </c>
      <c r="D117" s="77"/>
      <c r="E117" s="78" t="s">
        <v>103</v>
      </c>
      <c r="F117" s="77"/>
      <c r="G117" s="79" t="s">
        <v>107</v>
      </c>
      <c r="H117" s="79" t="s">
        <v>101</v>
      </c>
      <c r="I117" s="79">
        <f t="shared" si="29"/>
        <v>-1</v>
      </c>
      <c r="J117" s="80">
        <f t="shared" si="30"/>
        <v>0.5</v>
      </c>
    </row>
    <row r="118" spans="3:10" x14ac:dyDescent="0.25">
      <c r="C118" s="72" t="s">
        <v>158</v>
      </c>
      <c r="D118" s="72"/>
      <c r="E118" s="72"/>
      <c r="F118" s="72"/>
      <c r="G118" s="72"/>
      <c r="H118" s="73"/>
      <c r="I118" s="74"/>
      <c r="J118" s="75"/>
    </row>
    <row r="119" spans="3:10" ht="14.4" x14ac:dyDescent="0.3">
      <c r="C119" s="76" t="s">
        <v>159</v>
      </c>
      <c r="D119" s="77"/>
      <c r="E119" s="78" t="s">
        <v>103</v>
      </c>
      <c r="F119" s="77"/>
      <c r="G119" s="79" t="s">
        <v>107</v>
      </c>
      <c r="H119" s="79" t="s">
        <v>101</v>
      </c>
      <c r="I119" s="79">
        <f>G119-E119</f>
        <v>-1</v>
      </c>
      <c r="J119" s="80">
        <f>G119/E119</f>
        <v>0.5</v>
      </c>
    </row>
    <row r="120" spans="3:10" x14ac:dyDescent="0.25">
      <c r="C120" s="72" t="s">
        <v>160</v>
      </c>
      <c r="D120" s="72"/>
      <c r="E120" s="72"/>
      <c r="F120" s="72"/>
      <c r="G120" s="72"/>
      <c r="H120" s="73"/>
      <c r="I120" s="74"/>
      <c r="J120" s="75"/>
    </row>
    <row r="121" spans="3:10" ht="14.4" x14ac:dyDescent="0.3">
      <c r="C121" s="76" t="s">
        <v>161</v>
      </c>
      <c r="D121" s="77"/>
      <c r="E121" s="78" t="s">
        <v>146</v>
      </c>
      <c r="F121" s="77"/>
      <c r="G121" s="79" t="s">
        <v>162</v>
      </c>
      <c r="H121" s="79" t="s">
        <v>101</v>
      </c>
      <c r="I121" s="79">
        <f>G121-E121</f>
        <v>-24</v>
      </c>
      <c r="J121" s="80">
        <f>G121/E121</f>
        <v>0.36842105263157893</v>
      </c>
    </row>
    <row r="122" spans="3:10" x14ac:dyDescent="0.25">
      <c r="C122" s="72" t="s">
        <v>163</v>
      </c>
      <c r="D122" s="72"/>
      <c r="E122" s="72"/>
      <c r="F122" s="72"/>
      <c r="G122" s="72"/>
      <c r="H122" s="73"/>
      <c r="I122" s="74"/>
      <c r="J122" s="75"/>
    </row>
    <row r="123" spans="3:10" ht="14.4" x14ac:dyDescent="0.3">
      <c r="C123" s="76" t="s">
        <v>164</v>
      </c>
      <c r="D123" s="77"/>
      <c r="E123" s="78" t="s">
        <v>146</v>
      </c>
      <c r="F123" s="77"/>
      <c r="G123" s="79" t="s">
        <v>101</v>
      </c>
      <c r="H123" s="79" t="s">
        <v>101</v>
      </c>
      <c r="I123" s="79">
        <f>G123-E123</f>
        <v>-38</v>
      </c>
      <c r="J123" s="80">
        <f>G123/E123</f>
        <v>0</v>
      </c>
    </row>
    <row r="124" spans="3:10" ht="14.4" x14ac:dyDescent="0.3">
      <c r="C124"/>
      <c r="D124"/>
      <c r="E124"/>
      <c r="F124"/>
      <c r="G124"/>
      <c r="H124"/>
      <c r="I124"/>
      <c r="J124"/>
    </row>
    <row r="125" spans="3:10" ht="14.4" x14ac:dyDescent="0.3">
      <c r="C125" s="68" t="s">
        <v>69</v>
      </c>
      <c r="D125" s="69">
        <v>33835152</v>
      </c>
      <c r="E125" s="70"/>
      <c r="F125" s="69">
        <v>8385524.5700000003</v>
      </c>
      <c r="G125" s="69"/>
      <c r="H125" s="69">
        <f>F125-D125</f>
        <v>-25449627.43</v>
      </c>
      <c r="I125" s="69"/>
      <c r="J125" s="69"/>
    </row>
    <row r="126" spans="3:10" ht="24" x14ac:dyDescent="0.25">
      <c r="C126" s="71" t="s">
        <v>93</v>
      </c>
      <c r="D126" s="71" t="s">
        <v>94</v>
      </c>
      <c r="E126" s="71" t="s">
        <v>95</v>
      </c>
      <c r="F126" s="71" t="s">
        <v>96</v>
      </c>
      <c r="G126" s="71" t="s">
        <v>97</v>
      </c>
      <c r="H126" s="71" t="s">
        <v>97</v>
      </c>
      <c r="I126" s="71" t="s">
        <v>97</v>
      </c>
      <c r="J126" s="71" t="s">
        <v>97</v>
      </c>
    </row>
    <row r="127" spans="3:10" x14ac:dyDescent="0.25">
      <c r="C127" s="72" t="s">
        <v>165</v>
      </c>
      <c r="D127" s="72"/>
      <c r="E127" s="72"/>
      <c r="F127" s="72"/>
      <c r="G127" s="72"/>
      <c r="H127" s="73"/>
      <c r="I127" s="74"/>
      <c r="J127" s="75"/>
    </row>
    <row r="128" spans="3:10" ht="14.4" x14ac:dyDescent="0.3">
      <c r="C128" s="76" t="s">
        <v>166</v>
      </c>
      <c r="D128" s="77"/>
      <c r="E128" s="78" t="s">
        <v>167</v>
      </c>
      <c r="F128" s="77"/>
      <c r="G128" s="79" t="s">
        <v>168</v>
      </c>
      <c r="H128" s="79" t="s">
        <v>101</v>
      </c>
      <c r="I128" s="79">
        <f t="shared" ref="I128:I129" si="31">G128-E128</f>
        <v>-875</v>
      </c>
      <c r="J128" s="80">
        <f t="shared" ref="J128:J129" si="32">G128/E128</f>
        <v>0.3923611111111111</v>
      </c>
    </row>
    <row r="129" spans="3:10" ht="14.4" x14ac:dyDescent="0.3">
      <c r="C129" s="76" t="s">
        <v>169</v>
      </c>
      <c r="D129" s="77"/>
      <c r="E129" s="78" t="s">
        <v>170</v>
      </c>
      <c r="F129" s="77"/>
      <c r="G129" s="79" t="s">
        <v>106</v>
      </c>
      <c r="H129" s="79" t="s">
        <v>101</v>
      </c>
      <c r="I129" s="79">
        <f t="shared" si="31"/>
        <v>-19</v>
      </c>
      <c r="J129" s="80">
        <f t="shared" si="32"/>
        <v>0.24</v>
      </c>
    </row>
    <row r="130" spans="3:10" x14ac:dyDescent="0.25">
      <c r="C130" s="72" t="s">
        <v>171</v>
      </c>
      <c r="D130" s="72"/>
      <c r="E130" s="72"/>
      <c r="F130" s="72"/>
      <c r="G130" s="72"/>
      <c r="H130" s="73"/>
      <c r="I130" s="74"/>
      <c r="J130" s="75"/>
    </row>
    <row r="131" spans="3:10" ht="14.4" x14ac:dyDescent="0.3">
      <c r="C131" s="76" t="s">
        <v>172</v>
      </c>
      <c r="D131" s="77"/>
      <c r="E131" s="78" t="s">
        <v>173</v>
      </c>
      <c r="F131" s="77"/>
      <c r="G131" s="79" t="s">
        <v>146</v>
      </c>
      <c r="H131" s="79" t="s">
        <v>101</v>
      </c>
      <c r="I131" s="79">
        <f>G131-E131</f>
        <v>-22</v>
      </c>
      <c r="J131" s="80">
        <f>G131/E131</f>
        <v>0.6333333333333333</v>
      </c>
    </row>
    <row r="132" spans="3:10" x14ac:dyDescent="0.25">
      <c r="C132" s="72" t="s">
        <v>174</v>
      </c>
      <c r="D132" s="72"/>
      <c r="E132" s="72"/>
      <c r="F132" s="72"/>
      <c r="G132" s="72"/>
      <c r="H132" s="73"/>
      <c r="I132" s="74"/>
      <c r="J132" s="75"/>
    </row>
    <row r="133" spans="3:10" ht="14.4" x14ac:dyDescent="0.3">
      <c r="C133" s="76" t="s">
        <v>175</v>
      </c>
      <c r="D133" s="77"/>
      <c r="E133" s="78" t="s">
        <v>123</v>
      </c>
      <c r="F133" s="77"/>
      <c r="G133" s="79" t="s">
        <v>176</v>
      </c>
      <c r="H133" s="79" t="s">
        <v>101</v>
      </c>
      <c r="I133" s="79">
        <f t="shared" ref="I133:I135" si="33">G133-E133</f>
        <v>-35</v>
      </c>
      <c r="J133" s="80">
        <f t="shared" ref="J133:J135" si="34">G133/E133</f>
        <v>0.65</v>
      </c>
    </row>
    <row r="134" spans="3:10" ht="14.4" x14ac:dyDescent="0.3">
      <c r="C134" s="76" t="s">
        <v>177</v>
      </c>
      <c r="D134" s="77"/>
      <c r="E134" s="78" t="s">
        <v>123</v>
      </c>
      <c r="F134" s="77"/>
      <c r="G134" s="79" t="s">
        <v>176</v>
      </c>
      <c r="H134" s="79" t="s">
        <v>101</v>
      </c>
      <c r="I134" s="79">
        <f t="shared" si="33"/>
        <v>-35</v>
      </c>
      <c r="J134" s="80">
        <f t="shared" si="34"/>
        <v>0.65</v>
      </c>
    </row>
    <row r="135" spans="3:10" ht="14.4" x14ac:dyDescent="0.3">
      <c r="C135" s="76" t="s">
        <v>178</v>
      </c>
      <c r="D135" s="77"/>
      <c r="E135" s="78" t="s">
        <v>123</v>
      </c>
      <c r="F135" s="77"/>
      <c r="G135" s="79" t="s">
        <v>179</v>
      </c>
      <c r="H135" s="79" t="s">
        <v>101</v>
      </c>
      <c r="I135" s="79">
        <f t="shared" si="33"/>
        <v>-20</v>
      </c>
      <c r="J135" s="80">
        <f t="shared" si="34"/>
        <v>0.8</v>
      </c>
    </row>
    <row r="136" spans="3:10" x14ac:dyDescent="0.25">
      <c r="C136" s="72" t="s">
        <v>180</v>
      </c>
      <c r="D136" s="72"/>
      <c r="E136" s="72"/>
      <c r="F136" s="72"/>
      <c r="G136" s="72"/>
      <c r="H136" s="73"/>
      <c r="I136" s="74"/>
      <c r="J136" s="75"/>
    </row>
    <row r="137" spans="3:10" ht="14.4" x14ac:dyDescent="0.3">
      <c r="C137" s="76" t="s">
        <v>181</v>
      </c>
      <c r="D137" s="77"/>
      <c r="E137" s="78" t="s">
        <v>107</v>
      </c>
      <c r="F137" s="77"/>
      <c r="G137" s="79" t="s">
        <v>101</v>
      </c>
      <c r="H137" s="79" t="s">
        <v>101</v>
      </c>
      <c r="I137" s="79">
        <f>G137-E137</f>
        <v>-1</v>
      </c>
      <c r="J137" s="80">
        <f>G137/E137</f>
        <v>0</v>
      </c>
    </row>
    <row r="138" spans="3:10" x14ac:dyDescent="0.25">
      <c r="C138" s="72" t="s">
        <v>182</v>
      </c>
      <c r="D138" s="72"/>
      <c r="E138" s="72"/>
      <c r="F138" s="72"/>
      <c r="G138" s="72"/>
      <c r="H138" s="73"/>
      <c r="I138" s="74"/>
      <c r="J138" s="75"/>
    </row>
    <row r="139" spans="3:10" ht="14.4" x14ac:dyDescent="0.3">
      <c r="C139" s="76" t="s">
        <v>183</v>
      </c>
      <c r="D139" s="77"/>
      <c r="E139" s="78" t="s">
        <v>184</v>
      </c>
      <c r="F139" s="77"/>
      <c r="G139" s="79" t="s">
        <v>185</v>
      </c>
      <c r="H139" s="79" t="s">
        <v>101</v>
      </c>
      <c r="I139" s="79">
        <f>G139-E139</f>
        <v>-65</v>
      </c>
      <c r="J139" s="80">
        <f>G139/E139</f>
        <v>0.14473684210526316</v>
      </c>
    </row>
    <row r="140" spans="3:10" x14ac:dyDescent="0.25">
      <c r="C140" s="72" t="s">
        <v>186</v>
      </c>
      <c r="D140" s="72"/>
      <c r="E140" s="72"/>
      <c r="F140" s="72"/>
      <c r="G140" s="72"/>
      <c r="H140" s="73"/>
      <c r="I140" s="74"/>
      <c r="J140" s="75"/>
    </row>
    <row r="141" spans="3:10" ht="14.4" x14ac:dyDescent="0.3">
      <c r="C141" s="76" t="s">
        <v>187</v>
      </c>
      <c r="D141" s="77"/>
      <c r="E141" s="78" t="s">
        <v>188</v>
      </c>
      <c r="F141" s="77"/>
      <c r="G141" s="79" t="s">
        <v>126</v>
      </c>
      <c r="H141" s="79" t="s">
        <v>101</v>
      </c>
      <c r="I141" s="79">
        <f>G141-E141</f>
        <v>-11</v>
      </c>
      <c r="J141" s="80">
        <f>G141/E141</f>
        <v>0.3125</v>
      </c>
    </row>
    <row r="142" spans="3:10" x14ac:dyDescent="0.25">
      <c r="C142" s="72" t="s">
        <v>189</v>
      </c>
      <c r="D142" s="72"/>
      <c r="E142" s="72"/>
      <c r="F142" s="72"/>
      <c r="G142" s="72"/>
      <c r="H142" s="73"/>
      <c r="I142" s="74"/>
      <c r="J142" s="75"/>
    </row>
    <row r="143" spans="3:10" ht="14.4" x14ac:dyDescent="0.3">
      <c r="C143" s="76" t="s">
        <v>190</v>
      </c>
      <c r="D143" s="77"/>
      <c r="E143" s="78" t="s">
        <v>146</v>
      </c>
      <c r="F143" s="77"/>
      <c r="G143" s="78"/>
      <c r="H143" s="78"/>
      <c r="I143" s="78"/>
      <c r="J143" s="78"/>
    </row>
    <row r="144" spans="3:10" x14ac:dyDescent="0.25">
      <c r="C144" s="72" t="s">
        <v>191</v>
      </c>
      <c r="D144" s="72"/>
      <c r="E144" s="72"/>
      <c r="F144" s="72"/>
      <c r="G144" s="72"/>
      <c r="H144" s="73"/>
      <c r="I144" s="74"/>
      <c r="J144" s="75"/>
    </row>
    <row r="145" spans="3:10" ht="14.4" x14ac:dyDescent="0.3">
      <c r="C145" s="76" t="s">
        <v>192</v>
      </c>
      <c r="D145" s="77"/>
      <c r="E145" s="78" t="s">
        <v>139</v>
      </c>
      <c r="F145" s="77"/>
      <c r="G145" s="79" t="s">
        <v>193</v>
      </c>
      <c r="H145" s="79" t="s">
        <v>101</v>
      </c>
      <c r="I145" s="79">
        <f>G145-E145</f>
        <v>-3528</v>
      </c>
      <c r="J145" s="80">
        <f>G145/E145</f>
        <v>0.2944</v>
      </c>
    </row>
    <row r="146" spans="3:10" x14ac:dyDescent="0.25">
      <c r="C146" s="72" t="s">
        <v>194</v>
      </c>
      <c r="D146" s="72"/>
      <c r="E146" s="72"/>
      <c r="F146" s="72"/>
      <c r="G146" s="72"/>
      <c r="H146" s="73"/>
      <c r="I146" s="74"/>
      <c r="J146" s="75"/>
    </row>
    <row r="147" spans="3:10" ht="14.4" x14ac:dyDescent="0.3">
      <c r="C147" s="76" t="s">
        <v>195</v>
      </c>
      <c r="D147" s="77"/>
      <c r="E147" s="78" t="s">
        <v>107</v>
      </c>
      <c r="F147" s="77"/>
      <c r="G147" s="79" t="s">
        <v>101</v>
      </c>
      <c r="H147" s="79" t="s">
        <v>101</v>
      </c>
      <c r="I147" s="79">
        <f>G147-E147</f>
        <v>-1</v>
      </c>
      <c r="J147" s="80">
        <f>G147/E147</f>
        <v>0</v>
      </c>
    </row>
    <row r="148" spans="3:10" x14ac:dyDescent="0.25">
      <c r="C148" s="72" t="s">
        <v>196</v>
      </c>
      <c r="D148" s="72"/>
      <c r="E148" s="72"/>
      <c r="F148" s="72"/>
      <c r="G148" s="72"/>
      <c r="H148" s="73"/>
      <c r="I148" s="74"/>
      <c r="J148" s="75"/>
    </row>
    <row r="149" spans="3:10" ht="14.4" x14ac:dyDescent="0.3">
      <c r="C149" s="76" t="s">
        <v>197</v>
      </c>
      <c r="D149" s="77"/>
      <c r="E149" s="78" t="s">
        <v>198</v>
      </c>
      <c r="F149" s="77"/>
      <c r="G149" s="79" t="s">
        <v>199</v>
      </c>
      <c r="H149" s="79" t="s">
        <v>101</v>
      </c>
      <c r="I149" s="79">
        <f>G149-E149</f>
        <v>-536</v>
      </c>
      <c r="J149" s="80">
        <f>G149/E149</f>
        <v>6.9444444444444448E-2</v>
      </c>
    </row>
    <row r="150" spans="3:10" x14ac:dyDescent="0.25">
      <c r="C150" s="72" t="s">
        <v>200</v>
      </c>
      <c r="D150" s="72"/>
      <c r="E150" s="72"/>
      <c r="F150" s="72"/>
      <c r="G150" s="72"/>
      <c r="H150" s="73"/>
      <c r="I150" s="74"/>
      <c r="J150" s="75"/>
    </row>
    <row r="151" spans="3:10" ht="14.4" x14ac:dyDescent="0.3">
      <c r="C151" s="76" t="s">
        <v>201</v>
      </c>
      <c r="D151" s="77"/>
      <c r="E151" s="78" t="s">
        <v>202</v>
      </c>
      <c r="F151" s="77"/>
      <c r="G151" s="79" t="s">
        <v>100</v>
      </c>
      <c r="H151" s="79" t="s">
        <v>101</v>
      </c>
      <c r="I151" s="79">
        <f>G151-E151</f>
        <v>-33</v>
      </c>
      <c r="J151" s="80">
        <f>G151/E151</f>
        <v>0.3125</v>
      </c>
    </row>
    <row r="152" spans="3:10" ht="14.4" x14ac:dyDescent="0.3">
      <c r="C152"/>
      <c r="D152"/>
      <c r="E152"/>
      <c r="F152"/>
      <c r="G152"/>
      <c r="H152"/>
      <c r="I152"/>
      <c r="J152"/>
    </row>
    <row r="153" spans="3:10" ht="14.4" x14ac:dyDescent="0.3">
      <c r="C153" s="68" t="s">
        <v>71</v>
      </c>
      <c r="D153" s="69">
        <v>49870563</v>
      </c>
      <c r="E153" s="70"/>
      <c r="F153" s="69">
        <v>25157751.539999999</v>
      </c>
      <c r="G153" s="69"/>
      <c r="H153" s="69">
        <f>F153-D153</f>
        <v>-24712811.460000001</v>
      </c>
      <c r="I153" s="69"/>
      <c r="J153" s="69"/>
    </row>
    <row r="154" spans="3:10" ht="24" x14ac:dyDescent="0.25">
      <c r="C154" s="71" t="s">
        <v>93</v>
      </c>
      <c r="D154" s="71" t="s">
        <v>94</v>
      </c>
      <c r="E154" s="71" t="s">
        <v>95</v>
      </c>
      <c r="F154" s="71" t="s">
        <v>96</v>
      </c>
      <c r="G154" s="71" t="s">
        <v>97</v>
      </c>
      <c r="H154" s="71" t="s">
        <v>97</v>
      </c>
      <c r="I154" s="71" t="s">
        <v>97</v>
      </c>
      <c r="J154" s="71" t="s">
        <v>97</v>
      </c>
    </row>
    <row r="155" spans="3:10" x14ac:dyDescent="0.25">
      <c r="C155" s="72" t="s">
        <v>203</v>
      </c>
      <c r="D155" s="72"/>
      <c r="E155" s="72"/>
      <c r="F155" s="72"/>
      <c r="G155" s="72"/>
      <c r="H155" s="73"/>
      <c r="I155" s="74"/>
      <c r="J155" s="75"/>
    </row>
    <row r="156" spans="3:10" ht="14.4" x14ac:dyDescent="0.3">
      <c r="C156" s="76" t="s">
        <v>204</v>
      </c>
      <c r="D156" s="77"/>
      <c r="E156" s="78" t="s">
        <v>205</v>
      </c>
      <c r="F156" s="77"/>
      <c r="G156" s="79" t="s">
        <v>101</v>
      </c>
      <c r="H156" s="79" t="s">
        <v>101</v>
      </c>
      <c r="I156" s="79">
        <f>G156-E156</f>
        <v>-7</v>
      </c>
      <c r="J156" s="80">
        <f>G156/E156</f>
        <v>0</v>
      </c>
    </row>
    <row r="157" spans="3:10" x14ac:dyDescent="0.25">
      <c r="C157" s="72" t="s">
        <v>206</v>
      </c>
      <c r="D157" s="72"/>
      <c r="E157" s="72"/>
      <c r="F157" s="72"/>
      <c r="G157" s="72"/>
      <c r="H157" s="73"/>
      <c r="I157" s="74"/>
      <c r="J157" s="75"/>
    </row>
    <row r="158" spans="3:10" ht="14.4" x14ac:dyDescent="0.3">
      <c r="C158" s="76" t="s">
        <v>207</v>
      </c>
      <c r="D158" s="77"/>
      <c r="E158" s="78" t="s">
        <v>103</v>
      </c>
      <c r="F158" s="77"/>
      <c r="G158" s="79" t="s">
        <v>107</v>
      </c>
      <c r="H158" s="79" t="s">
        <v>101</v>
      </c>
      <c r="I158" s="79">
        <f t="shared" ref="I158:I160" si="35">G158-E158</f>
        <v>-1</v>
      </c>
      <c r="J158" s="80">
        <f t="shared" ref="J158:J160" si="36">G158/E158</f>
        <v>0.5</v>
      </c>
    </row>
    <row r="159" spans="3:10" ht="14.4" x14ac:dyDescent="0.3">
      <c r="C159" s="76" t="s">
        <v>208</v>
      </c>
      <c r="D159" s="77"/>
      <c r="E159" s="78" t="s">
        <v>154</v>
      </c>
      <c r="F159" s="77"/>
      <c r="G159" s="79" t="s">
        <v>101</v>
      </c>
      <c r="H159" s="79" t="s">
        <v>101</v>
      </c>
      <c r="I159" s="79">
        <f t="shared" si="35"/>
        <v>-1</v>
      </c>
      <c r="J159" s="80">
        <f t="shared" si="36"/>
        <v>0</v>
      </c>
    </row>
    <row r="160" spans="3:10" ht="14.4" x14ac:dyDescent="0.3">
      <c r="C160" s="76" t="s">
        <v>209</v>
      </c>
      <c r="D160" s="77"/>
      <c r="E160" s="78" t="s">
        <v>107</v>
      </c>
      <c r="F160" s="77"/>
      <c r="G160" s="79" t="s">
        <v>101</v>
      </c>
      <c r="H160" s="79" t="s">
        <v>101</v>
      </c>
      <c r="I160" s="79">
        <f t="shared" si="35"/>
        <v>-1</v>
      </c>
      <c r="J160" s="80">
        <f t="shared" si="36"/>
        <v>0</v>
      </c>
    </row>
    <row r="161" spans="3:10" x14ac:dyDescent="0.25">
      <c r="C161" s="72" t="s">
        <v>210</v>
      </c>
      <c r="D161" s="72"/>
      <c r="E161" s="72"/>
      <c r="F161" s="72"/>
      <c r="G161" s="72"/>
      <c r="H161" s="72"/>
      <c r="I161" s="72"/>
      <c r="J161" s="72"/>
    </row>
    <row r="162" spans="3:10" ht="14.4" x14ac:dyDescent="0.3">
      <c r="C162" s="76" t="s">
        <v>211</v>
      </c>
      <c r="D162" s="77"/>
      <c r="E162" s="78" t="s">
        <v>107</v>
      </c>
      <c r="F162" s="77"/>
      <c r="G162" s="79" t="s">
        <v>101</v>
      </c>
      <c r="H162" s="79" t="s">
        <v>101</v>
      </c>
      <c r="I162" s="79">
        <f>G162-E162</f>
        <v>-1</v>
      </c>
      <c r="J162" s="80">
        <f>G162/E162</f>
        <v>0</v>
      </c>
    </row>
    <row r="163" spans="3:10" ht="14.4" x14ac:dyDescent="0.3">
      <c r="C163"/>
      <c r="D163"/>
      <c r="E163"/>
      <c r="F163"/>
      <c r="G163"/>
      <c r="H163" s="79"/>
      <c r="I163" s="79"/>
      <c r="J163" s="79"/>
    </row>
    <row r="164" spans="3:10" ht="14.4" x14ac:dyDescent="0.3">
      <c r="C164" s="68" t="s">
        <v>72</v>
      </c>
      <c r="D164" s="69">
        <v>73580959</v>
      </c>
      <c r="E164" s="70"/>
      <c r="F164" s="69">
        <v>16260095.609999999</v>
      </c>
      <c r="G164" s="69"/>
      <c r="H164" s="69">
        <f>F164-D164</f>
        <v>-57320863.390000001</v>
      </c>
      <c r="I164" s="69"/>
      <c r="J164" s="69"/>
    </row>
    <row r="165" spans="3:10" ht="24" x14ac:dyDescent="0.25">
      <c r="C165" s="71" t="s">
        <v>93</v>
      </c>
      <c r="D165" s="71" t="s">
        <v>94</v>
      </c>
      <c r="E165" s="71" t="s">
        <v>95</v>
      </c>
      <c r="F165" s="71" t="s">
        <v>96</v>
      </c>
      <c r="G165" s="71" t="s">
        <v>97</v>
      </c>
      <c r="H165" s="71" t="s">
        <v>97</v>
      </c>
      <c r="I165" s="71" t="s">
        <v>97</v>
      </c>
      <c r="J165" s="71" t="s">
        <v>97</v>
      </c>
    </row>
    <row r="166" spans="3:10" x14ac:dyDescent="0.25">
      <c r="C166" s="72" t="s">
        <v>212</v>
      </c>
      <c r="D166" s="72"/>
      <c r="E166" s="72"/>
      <c r="F166" s="72"/>
      <c r="G166" s="72"/>
      <c r="H166" s="72"/>
      <c r="I166" s="72"/>
      <c r="J166" s="72"/>
    </row>
    <row r="167" spans="3:10" ht="14.4" x14ac:dyDescent="0.3">
      <c r="C167" s="76" t="s">
        <v>213</v>
      </c>
      <c r="D167" s="77"/>
      <c r="E167" s="78" t="s">
        <v>214</v>
      </c>
      <c r="F167" s="77"/>
      <c r="G167" s="79" t="s">
        <v>215</v>
      </c>
      <c r="H167" s="79" t="s">
        <v>101</v>
      </c>
      <c r="I167" s="79">
        <f t="shared" ref="I167:I169" si="37">G167-E167</f>
        <v>-136</v>
      </c>
      <c r="J167" s="80">
        <f t="shared" ref="J167:J169" si="38">G167/E167</f>
        <v>0.62637362637362637</v>
      </c>
    </row>
    <row r="168" spans="3:10" ht="14.4" x14ac:dyDescent="0.3">
      <c r="C168" s="76" t="s">
        <v>216</v>
      </c>
      <c r="D168" s="77"/>
      <c r="E168" s="78" t="s">
        <v>217</v>
      </c>
      <c r="F168" s="77"/>
      <c r="G168" s="79" t="s">
        <v>218</v>
      </c>
      <c r="H168" s="79" t="s">
        <v>101</v>
      </c>
      <c r="I168" s="79">
        <f t="shared" si="37"/>
        <v>-4600</v>
      </c>
      <c r="J168" s="80">
        <f t="shared" si="38"/>
        <v>0.64615384615384619</v>
      </c>
    </row>
    <row r="169" spans="3:10" ht="14.4" x14ac:dyDescent="0.3">
      <c r="C169" s="76" t="s">
        <v>219</v>
      </c>
      <c r="D169" s="77"/>
      <c r="E169" s="78" t="s">
        <v>220</v>
      </c>
      <c r="F169" s="77"/>
      <c r="G169" s="79" t="s">
        <v>221</v>
      </c>
      <c r="H169" s="79" t="s">
        <v>101</v>
      </c>
      <c r="I169" s="79">
        <f t="shared" si="37"/>
        <v>-11000</v>
      </c>
      <c r="J169" s="80">
        <f t="shared" si="38"/>
        <v>0.26666666666666666</v>
      </c>
    </row>
    <row r="170" spans="3:10" x14ac:dyDescent="0.25">
      <c r="C170" s="72" t="s">
        <v>222</v>
      </c>
      <c r="D170" s="72"/>
      <c r="E170" s="72"/>
      <c r="F170" s="72"/>
      <c r="G170" s="72"/>
      <c r="H170" s="72"/>
      <c r="I170" s="72"/>
      <c r="J170" s="72"/>
    </row>
    <row r="171" spans="3:10" ht="14.4" x14ac:dyDescent="0.3">
      <c r="C171" s="76" t="s">
        <v>223</v>
      </c>
      <c r="D171" s="77"/>
      <c r="E171" s="78" t="s">
        <v>154</v>
      </c>
      <c r="F171" s="77"/>
      <c r="G171" s="81" t="s">
        <v>154</v>
      </c>
      <c r="H171" s="79" t="s">
        <v>101</v>
      </c>
      <c r="I171" s="79">
        <f t="shared" ref="I171:I173" si="39">G171-E171</f>
        <v>0</v>
      </c>
      <c r="J171" s="80">
        <f t="shared" ref="J171:J173" si="40">G171/E171</f>
        <v>1</v>
      </c>
    </row>
    <row r="172" spans="3:10" ht="14.4" x14ac:dyDescent="0.3">
      <c r="C172" s="76" t="s">
        <v>224</v>
      </c>
      <c r="D172" s="77"/>
      <c r="E172" s="78" t="s">
        <v>225</v>
      </c>
      <c r="F172" s="77"/>
      <c r="G172" s="79" t="s">
        <v>226</v>
      </c>
      <c r="H172" s="79" t="s">
        <v>101</v>
      </c>
      <c r="I172" s="79">
        <f t="shared" si="39"/>
        <v>-1599</v>
      </c>
      <c r="J172" s="80">
        <f t="shared" si="40"/>
        <v>0.54288164665523153</v>
      </c>
    </row>
    <row r="173" spans="3:10" ht="14.4" x14ac:dyDescent="0.3">
      <c r="C173" s="76" t="s">
        <v>227</v>
      </c>
      <c r="D173" s="77"/>
      <c r="E173" s="78" t="s">
        <v>228</v>
      </c>
      <c r="F173" s="77"/>
      <c r="G173" s="79" t="s">
        <v>229</v>
      </c>
      <c r="H173" s="79" t="s">
        <v>101</v>
      </c>
      <c r="I173" s="79">
        <f t="shared" si="39"/>
        <v>-8925</v>
      </c>
      <c r="J173" s="80">
        <f t="shared" si="40"/>
        <v>0.49624654286843145</v>
      </c>
    </row>
    <row r="174" spans="3:10" x14ac:dyDescent="0.25">
      <c r="C174" s="72" t="s">
        <v>230</v>
      </c>
      <c r="D174" s="72"/>
      <c r="E174" s="72"/>
      <c r="F174" s="72"/>
      <c r="G174" s="72"/>
      <c r="H174" s="72"/>
      <c r="I174" s="72"/>
      <c r="J174" s="72"/>
    </row>
    <row r="175" spans="3:10" ht="14.4" x14ac:dyDescent="0.3">
      <c r="C175" s="76" t="s">
        <v>231</v>
      </c>
      <c r="D175" s="77"/>
      <c r="E175" s="78" t="s">
        <v>154</v>
      </c>
      <c r="F175" s="77"/>
      <c r="G175" s="79" t="s">
        <v>232</v>
      </c>
      <c r="H175" s="79" t="s">
        <v>101</v>
      </c>
      <c r="I175" s="79">
        <f t="shared" ref="I175:I177" si="41">G175-E175</f>
        <v>-0.5</v>
      </c>
      <c r="J175" s="80">
        <f t="shared" ref="J175:J177" si="42">G175/E175</f>
        <v>0.5</v>
      </c>
    </row>
    <row r="176" spans="3:10" ht="14.4" x14ac:dyDescent="0.3">
      <c r="C176" s="76" t="s">
        <v>233</v>
      </c>
      <c r="D176" s="77"/>
      <c r="E176" s="78" t="s">
        <v>154</v>
      </c>
      <c r="F176" s="77"/>
      <c r="G176" s="79" t="s">
        <v>232</v>
      </c>
      <c r="H176" s="79" t="s">
        <v>101</v>
      </c>
      <c r="I176" s="79">
        <f t="shared" si="41"/>
        <v>-0.5</v>
      </c>
      <c r="J176" s="80">
        <f t="shared" si="42"/>
        <v>0.5</v>
      </c>
    </row>
    <row r="177" spans="3:10" ht="14.4" x14ac:dyDescent="0.3">
      <c r="C177" s="76" t="s">
        <v>234</v>
      </c>
      <c r="D177" s="77"/>
      <c r="E177" s="78" t="s">
        <v>154</v>
      </c>
      <c r="F177" s="77"/>
      <c r="G177" s="79" t="s">
        <v>232</v>
      </c>
      <c r="H177" s="79" t="s">
        <v>101</v>
      </c>
      <c r="I177" s="79">
        <f t="shared" si="41"/>
        <v>-0.5</v>
      </c>
      <c r="J177" s="80">
        <f t="shared" si="42"/>
        <v>0.5</v>
      </c>
    </row>
    <row r="178" spans="3:10" x14ac:dyDescent="0.25">
      <c r="C178" s="72" t="s">
        <v>235</v>
      </c>
      <c r="D178" s="72"/>
      <c r="E178" s="72"/>
      <c r="F178" s="72"/>
      <c r="G178" s="72"/>
      <c r="H178" s="72"/>
      <c r="I178" s="72"/>
      <c r="J178" s="72"/>
    </row>
    <row r="179" spans="3:10" ht="14.4" x14ac:dyDescent="0.3">
      <c r="C179" s="76" t="s">
        <v>236</v>
      </c>
      <c r="D179" s="77"/>
      <c r="E179" s="78" t="s">
        <v>205</v>
      </c>
      <c r="F179" s="77"/>
      <c r="G179" s="79" t="s">
        <v>109</v>
      </c>
      <c r="H179" s="79" t="s">
        <v>101</v>
      </c>
      <c r="I179" s="79">
        <f t="shared" ref="I179:I182" si="43">G179-E179</f>
        <v>-3</v>
      </c>
      <c r="J179" s="80">
        <f t="shared" ref="J179:J182" si="44">G179/E179</f>
        <v>0.5714285714285714</v>
      </c>
    </row>
    <row r="180" spans="3:10" ht="14.4" x14ac:dyDescent="0.3">
      <c r="C180" s="76" t="s">
        <v>237</v>
      </c>
      <c r="D180" s="77"/>
      <c r="E180" s="78" t="s">
        <v>123</v>
      </c>
      <c r="F180" s="77"/>
      <c r="G180" s="81" t="s">
        <v>238</v>
      </c>
      <c r="H180" s="79" t="s">
        <v>101</v>
      </c>
      <c r="I180" s="79">
        <f t="shared" si="43"/>
        <v>386</v>
      </c>
      <c r="J180" s="80">
        <f t="shared" si="44"/>
        <v>4.8600000000000003</v>
      </c>
    </row>
    <row r="181" spans="3:10" ht="14.4" x14ac:dyDescent="0.3">
      <c r="C181" s="76" t="s">
        <v>239</v>
      </c>
      <c r="D181" s="77"/>
      <c r="E181" s="78" t="s">
        <v>123</v>
      </c>
      <c r="F181" s="77"/>
      <c r="G181" s="81" t="s">
        <v>240</v>
      </c>
      <c r="H181" s="79" t="s">
        <v>101</v>
      </c>
      <c r="I181" s="79">
        <f t="shared" si="43"/>
        <v>100</v>
      </c>
      <c r="J181" s="80">
        <f t="shared" si="44"/>
        <v>2</v>
      </c>
    </row>
    <row r="182" spans="3:10" ht="14.4" x14ac:dyDescent="0.3">
      <c r="C182" s="76" t="s">
        <v>241</v>
      </c>
      <c r="D182" s="77"/>
      <c r="E182" s="78" t="s">
        <v>242</v>
      </c>
      <c r="F182" s="77"/>
      <c r="G182" s="81" t="s">
        <v>243</v>
      </c>
      <c r="H182" s="79" t="s">
        <v>101</v>
      </c>
      <c r="I182" s="79">
        <f t="shared" si="43"/>
        <v>2368</v>
      </c>
      <c r="J182" s="80">
        <f t="shared" si="44"/>
        <v>9.9358490566037734</v>
      </c>
    </row>
    <row r="183" spans="3:10" ht="14.4" x14ac:dyDescent="0.3">
      <c r="C183"/>
      <c r="D183"/>
      <c r="E183"/>
      <c r="F183"/>
      <c r="G183"/>
      <c r="H183" s="79"/>
      <c r="I183" s="79"/>
      <c r="J183" s="79"/>
    </row>
    <row r="184" spans="3:10" ht="14.4" x14ac:dyDescent="0.3">
      <c r="C184" s="68" t="s">
        <v>73</v>
      </c>
      <c r="D184" s="69">
        <v>146923352</v>
      </c>
      <c r="E184" s="70"/>
      <c r="F184" s="69">
        <v>28806873.18</v>
      </c>
      <c r="G184" s="69"/>
      <c r="H184" s="69">
        <f>F184-D184</f>
        <v>-118116478.81999999</v>
      </c>
      <c r="I184" s="69"/>
      <c r="J184" s="69"/>
    </row>
    <row r="185" spans="3:10" ht="24" x14ac:dyDescent="0.25">
      <c r="C185" s="71" t="s">
        <v>93</v>
      </c>
      <c r="D185" s="71" t="s">
        <v>94</v>
      </c>
      <c r="E185" s="71" t="s">
        <v>95</v>
      </c>
      <c r="F185" s="71" t="s">
        <v>96</v>
      </c>
      <c r="G185" s="71" t="s">
        <v>97</v>
      </c>
      <c r="H185" s="71" t="s">
        <v>97</v>
      </c>
      <c r="I185" s="71" t="s">
        <v>97</v>
      </c>
      <c r="J185" s="71" t="s">
        <v>97</v>
      </c>
    </row>
    <row r="186" spans="3:10" x14ac:dyDescent="0.25">
      <c r="C186" s="72" t="s">
        <v>244</v>
      </c>
      <c r="D186" s="72"/>
      <c r="E186" s="72"/>
      <c r="F186" s="72"/>
      <c r="G186" s="72"/>
      <c r="H186" s="72"/>
      <c r="I186" s="72"/>
      <c r="J186" s="72"/>
    </row>
    <row r="187" spans="3:10" ht="14.4" x14ac:dyDescent="0.3">
      <c r="C187" s="76" t="s">
        <v>245</v>
      </c>
      <c r="D187" s="77"/>
      <c r="E187" s="78" t="s">
        <v>107</v>
      </c>
      <c r="F187" s="77"/>
      <c r="G187" s="79" t="s">
        <v>101</v>
      </c>
      <c r="H187" s="79" t="s">
        <v>101</v>
      </c>
      <c r="I187" s="79">
        <f t="shared" ref="I187:I188" si="45">G187-E187</f>
        <v>-1</v>
      </c>
      <c r="J187" s="80">
        <f t="shared" ref="J187:J188" si="46">G187/E187</f>
        <v>0</v>
      </c>
    </row>
    <row r="188" spans="3:10" ht="14.4" x14ac:dyDescent="0.3">
      <c r="C188" s="76" t="s">
        <v>246</v>
      </c>
      <c r="D188" s="77"/>
      <c r="E188" s="78" t="s">
        <v>247</v>
      </c>
      <c r="F188" s="77"/>
      <c r="G188" s="79" t="s">
        <v>248</v>
      </c>
      <c r="H188" s="79" t="s">
        <v>101</v>
      </c>
      <c r="I188" s="79">
        <f t="shared" si="45"/>
        <v>-84</v>
      </c>
      <c r="J188" s="80">
        <f t="shared" si="46"/>
        <v>0.5</v>
      </c>
    </row>
    <row r="189" spans="3:10" x14ac:dyDescent="0.25">
      <c r="C189" s="72" t="s">
        <v>249</v>
      </c>
      <c r="D189" s="72"/>
      <c r="E189" s="72"/>
      <c r="F189" s="72"/>
      <c r="G189" s="72"/>
      <c r="H189" s="72"/>
      <c r="I189" s="72"/>
      <c r="J189" s="72"/>
    </row>
    <row r="190" spans="3:10" ht="14.4" x14ac:dyDescent="0.3">
      <c r="C190" s="76" t="s">
        <v>250</v>
      </c>
      <c r="D190" s="77"/>
      <c r="E190" s="78" t="s">
        <v>251</v>
      </c>
      <c r="F190" s="77"/>
      <c r="G190" s="79" t="s">
        <v>252</v>
      </c>
      <c r="H190" s="79" t="s">
        <v>101</v>
      </c>
      <c r="I190" s="79">
        <f t="shared" ref="I190:I193" si="47">G190-E190</f>
        <v>-299</v>
      </c>
      <c r="J190" s="80">
        <f t="shared" ref="J190:J193" si="48">G190/E190</f>
        <v>0.56978417266187054</v>
      </c>
    </row>
    <row r="191" spans="3:10" ht="14.4" x14ac:dyDescent="0.3">
      <c r="C191" s="76" t="s">
        <v>253</v>
      </c>
      <c r="D191" s="77"/>
      <c r="E191" s="78" t="s">
        <v>254</v>
      </c>
      <c r="F191" s="77"/>
      <c r="G191" s="79" t="s">
        <v>255</v>
      </c>
      <c r="H191" s="79" t="s">
        <v>101</v>
      </c>
      <c r="I191" s="79">
        <f t="shared" si="47"/>
        <v>-169</v>
      </c>
      <c r="J191" s="80">
        <f t="shared" si="48"/>
        <v>0.21395348837209302</v>
      </c>
    </row>
    <row r="192" spans="3:10" ht="14.4" x14ac:dyDescent="0.3">
      <c r="C192" s="76" t="s">
        <v>256</v>
      </c>
      <c r="D192" s="77"/>
      <c r="E192" s="78" t="s">
        <v>257</v>
      </c>
      <c r="F192" s="77"/>
      <c r="G192" s="79" t="s">
        <v>258</v>
      </c>
      <c r="H192" s="79" t="s">
        <v>101</v>
      </c>
      <c r="I192" s="79">
        <f t="shared" si="47"/>
        <v>-2800</v>
      </c>
      <c r="J192" s="80">
        <f t="shared" si="48"/>
        <v>0.6</v>
      </c>
    </row>
    <row r="193" spans="3:10" ht="14.4" x14ac:dyDescent="0.3">
      <c r="C193" s="76" t="s">
        <v>259</v>
      </c>
      <c r="D193" s="77"/>
      <c r="E193" s="78" t="s">
        <v>109</v>
      </c>
      <c r="F193" s="77"/>
      <c r="G193" s="79" t="s">
        <v>103</v>
      </c>
      <c r="H193" s="79" t="s">
        <v>101</v>
      </c>
      <c r="I193" s="79">
        <f t="shared" si="47"/>
        <v>-2</v>
      </c>
      <c r="J193" s="80">
        <f t="shared" si="48"/>
        <v>0.5</v>
      </c>
    </row>
    <row r="194" spans="3:10" x14ac:dyDescent="0.25">
      <c r="C194" s="72" t="s">
        <v>260</v>
      </c>
      <c r="D194" s="72"/>
      <c r="E194" s="72"/>
      <c r="F194" s="72"/>
      <c r="G194" s="72"/>
      <c r="H194" s="72"/>
      <c r="I194" s="72"/>
      <c r="J194" s="72"/>
    </row>
    <row r="195" spans="3:10" ht="14.4" x14ac:dyDescent="0.3">
      <c r="C195" s="76" t="s">
        <v>261</v>
      </c>
      <c r="D195" s="77"/>
      <c r="E195" s="78" t="s">
        <v>262</v>
      </c>
      <c r="F195" s="77"/>
      <c r="G195" s="79" t="s">
        <v>103</v>
      </c>
      <c r="H195" s="79" t="s">
        <v>101</v>
      </c>
      <c r="I195" s="79">
        <f t="shared" ref="I195:I200" si="49">G195-E195</f>
        <v>-6</v>
      </c>
      <c r="J195" s="80">
        <f t="shared" ref="J195:J200" si="50">G195/E195</f>
        <v>0.25</v>
      </c>
    </row>
    <row r="196" spans="3:10" ht="14.4" x14ac:dyDescent="0.3">
      <c r="C196" s="76" t="s">
        <v>263</v>
      </c>
      <c r="D196" s="77"/>
      <c r="E196" s="78" t="s">
        <v>103</v>
      </c>
      <c r="F196" s="77"/>
      <c r="G196" s="79" t="s">
        <v>107</v>
      </c>
      <c r="H196" s="79" t="s">
        <v>101</v>
      </c>
      <c r="I196" s="79">
        <f t="shared" si="49"/>
        <v>-1</v>
      </c>
      <c r="J196" s="80">
        <f t="shared" si="50"/>
        <v>0.5</v>
      </c>
    </row>
    <row r="197" spans="3:10" ht="14.4" x14ac:dyDescent="0.3">
      <c r="C197" s="76" t="s">
        <v>264</v>
      </c>
      <c r="D197" s="77"/>
      <c r="E197" s="78" t="s">
        <v>103</v>
      </c>
      <c r="F197" s="77"/>
      <c r="G197" s="79" t="s">
        <v>107</v>
      </c>
      <c r="H197" s="79" t="s">
        <v>101</v>
      </c>
      <c r="I197" s="79">
        <f t="shared" si="49"/>
        <v>-1</v>
      </c>
      <c r="J197" s="80">
        <f t="shared" si="50"/>
        <v>0.5</v>
      </c>
    </row>
    <row r="198" spans="3:10" ht="14.4" x14ac:dyDescent="0.3">
      <c r="C198" s="76" t="s">
        <v>265</v>
      </c>
      <c r="D198" s="77"/>
      <c r="E198" s="78" t="s">
        <v>103</v>
      </c>
      <c r="F198" s="77"/>
      <c r="G198" s="79" t="s">
        <v>107</v>
      </c>
      <c r="H198" s="79" t="s">
        <v>101</v>
      </c>
      <c r="I198" s="79">
        <f t="shared" si="49"/>
        <v>-1</v>
      </c>
      <c r="J198" s="80">
        <f t="shared" si="50"/>
        <v>0.5</v>
      </c>
    </row>
    <row r="199" spans="3:10" ht="14.4" x14ac:dyDescent="0.3">
      <c r="C199" s="76" t="s">
        <v>266</v>
      </c>
      <c r="D199" s="77"/>
      <c r="E199" s="78" t="s">
        <v>103</v>
      </c>
      <c r="F199" s="77"/>
      <c r="G199" s="79" t="s">
        <v>107</v>
      </c>
      <c r="H199" s="79" t="s">
        <v>101</v>
      </c>
      <c r="I199" s="79">
        <f t="shared" si="49"/>
        <v>-1</v>
      </c>
      <c r="J199" s="80">
        <f t="shared" si="50"/>
        <v>0.5</v>
      </c>
    </row>
    <row r="200" spans="3:10" ht="14.4" x14ac:dyDescent="0.3">
      <c r="C200" s="76" t="s">
        <v>267</v>
      </c>
      <c r="D200" s="77"/>
      <c r="E200" s="78" t="s">
        <v>268</v>
      </c>
      <c r="F200" s="77"/>
      <c r="G200" s="79" t="s">
        <v>103</v>
      </c>
      <c r="H200" s="79" t="s">
        <v>101</v>
      </c>
      <c r="I200" s="79">
        <f t="shared" si="49"/>
        <v>-1</v>
      </c>
      <c r="J200" s="80">
        <f t="shared" si="50"/>
        <v>0.66666666666666663</v>
      </c>
    </row>
    <row r="201" spans="3:10" x14ac:dyDescent="0.25">
      <c r="C201" s="72" t="s">
        <v>269</v>
      </c>
      <c r="D201" s="72"/>
      <c r="E201" s="72"/>
      <c r="F201" s="72"/>
      <c r="G201" s="72"/>
      <c r="H201" s="72"/>
      <c r="I201" s="72"/>
      <c r="J201" s="72"/>
    </row>
    <row r="202" spans="3:10" ht="14.4" x14ac:dyDescent="0.3">
      <c r="C202" s="76" t="s">
        <v>270</v>
      </c>
      <c r="D202" s="77"/>
      <c r="E202" s="78" t="s">
        <v>257</v>
      </c>
      <c r="F202" s="77"/>
      <c r="G202" s="79" t="s">
        <v>271</v>
      </c>
      <c r="H202" s="79" t="s">
        <v>101</v>
      </c>
      <c r="I202" s="79">
        <f t="shared" ref="I202:I205" si="51">G202-E202</f>
        <v>-3415</v>
      </c>
      <c r="J202" s="80">
        <f t="shared" ref="J202:J205" si="52">G202/E202</f>
        <v>0.51214285714285712</v>
      </c>
    </row>
    <row r="203" spans="3:10" ht="14.4" x14ac:dyDescent="0.3">
      <c r="C203" s="76" t="s">
        <v>272</v>
      </c>
      <c r="D203" s="77"/>
      <c r="E203" s="78" t="s">
        <v>273</v>
      </c>
      <c r="F203" s="77"/>
      <c r="G203" s="79" t="s">
        <v>274</v>
      </c>
      <c r="H203" s="79" t="s">
        <v>101</v>
      </c>
      <c r="I203" s="79">
        <f t="shared" si="51"/>
        <v>-3261</v>
      </c>
      <c r="J203" s="80">
        <f t="shared" si="52"/>
        <v>0.40709090909090911</v>
      </c>
    </row>
    <row r="204" spans="3:10" ht="14.4" x14ac:dyDescent="0.3">
      <c r="C204" s="76" t="s">
        <v>275</v>
      </c>
      <c r="D204" s="77"/>
      <c r="E204" s="78" t="s">
        <v>276</v>
      </c>
      <c r="F204" s="77"/>
      <c r="G204" s="79" t="s">
        <v>277</v>
      </c>
      <c r="H204" s="79" t="s">
        <v>101</v>
      </c>
      <c r="I204" s="79">
        <f t="shared" si="51"/>
        <v>-25</v>
      </c>
      <c r="J204" s="80">
        <f t="shared" si="52"/>
        <v>0.6428571428571429</v>
      </c>
    </row>
    <row r="205" spans="3:10" ht="14.4" x14ac:dyDescent="0.3">
      <c r="C205" s="76" t="s">
        <v>278</v>
      </c>
      <c r="D205" s="77"/>
      <c r="E205" s="78" t="s">
        <v>262</v>
      </c>
      <c r="F205" s="77"/>
      <c r="G205" s="79" t="s">
        <v>126</v>
      </c>
      <c r="H205" s="79" t="s">
        <v>101</v>
      </c>
      <c r="I205" s="79">
        <f t="shared" si="51"/>
        <v>-3</v>
      </c>
      <c r="J205" s="80">
        <f t="shared" si="52"/>
        <v>0.625</v>
      </c>
    </row>
    <row r="206" spans="3:10" x14ac:dyDescent="0.25">
      <c r="C206" s="72" t="s">
        <v>279</v>
      </c>
      <c r="D206" s="72"/>
      <c r="E206" s="72"/>
      <c r="F206" s="72"/>
      <c r="G206" s="72"/>
      <c r="H206" s="72"/>
      <c r="I206" s="72"/>
      <c r="J206" s="72"/>
    </row>
    <row r="207" spans="3:10" ht="14.4" x14ac:dyDescent="0.3">
      <c r="C207" s="76" t="s">
        <v>280</v>
      </c>
      <c r="D207" s="77"/>
      <c r="E207" s="78" t="s">
        <v>281</v>
      </c>
      <c r="F207" s="77"/>
      <c r="G207" s="79" t="s">
        <v>106</v>
      </c>
      <c r="H207" s="79" t="s">
        <v>101</v>
      </c>
      <c r="I207" s="79">
        <f t="shared" ref="I207:I210" si="53">G207-E207</f>
        <v>-44</v>
      </c>
      <c r="J207" s="80">
        <f t="shared" ref="J207:J210" si="54">G207/E207</f>
        <v>0.12</v>
      </c>
    </row>
    <row r="208" spans="3:10" ht="14.4" x14ac:dyDescent="0.3">
      <c r="C208" s="76" t="s">
        <v>282</v>
      </c>
      <c r="D208" s="77"/>
      <c r="E208" s="78" t="s">
        <v>283</v>
      </c>
      <c r="F208" s="77"/>
      <c r="G208" s="79" t="s">
        <v>107</v>
      </c>
      <c r="H208" s="79" t="s">
        <v>101</v>
      </c>
      <c r="I208" s="79">
        <f t="shared" si="53"/>
        <v>-9</v>
      </c>
      <c r="J208" s="80">
        <f t="shared" si="54"/>
        <v>0.1</v>
      </c>
    </row>
    <row r="209" spans="3:10" ht="14.4" x14ac:dyDescent="0.3">
      <c r="C209" s="76" t="s">
        <v>284</v>
      </c>
      <c r="D209" s="77"/>
      <c r="E209" s="78" t="s">
        <v>285</v>
      </c>
      <c r="F209" s="77"/>
      <c r="G209" s="79" t="s">
        <v>100</v>
      </c>
      <c r="H209" s="79" t="s">
        <v>101</v>
      </c>
      <c r="I209" s="79">
        <f t="shared" si="53"/>
        <v>-15</v>
      </c>
      <c r="J209" s="80">
        <f t="shared" si="54"/>
        <v>0.5</v>
      </c>
    </row>
    <row r="210" spans="3:10" ht="14.4" x14ac:dyDescent="0.3">
      <c r="C210" s="76" t="s">
        <v>286</v>
      </c>
      <c r="D210" s="77"/>
      <c r="E210" s="78" t="s">
        <v>287</v>
      </c>
      <c r="F210" s="77"/>
      <c r="G210" s="79" t="s">
        <v>283</v>
      </c>
      <c r="H210" s="79" t="s">
        <v>101</v>
      </c>
      <c r="I210" s="79">
        <f t="shared" si="53"/>
        <v>-10</v>
      </c>
      <c r="J210" s="80">
        <f t="shared" si="54"/>
        <v>0.5</v>
      </c>
    </row>
    <row r="211" spans="3:10" x14ac:dyDescent="0.25">
      <c r="C211" s="72" t="s">
        <v>288</v>
      </c>
      <c r="D211" s="72"/>
      <c r="E211" s="72"/>
      <c r="F211" s="72"/>
      <c r="G211" s="72"/>
      <c r="H211" s="72"/>
      <c r="I211" s="72"/>
      <c r="J211" s="72"/>
    </row>
    <row r="212" spans="3:10" ht="14.4" x14ac:dyDescent="0.3">
      <c r="C212" s="76" t="s">
        <v>289</v>
      </c>
      <c r="D212" s="77"/>
      <c r="E212" s="78" t="s">
        <v>285</v>
      </c>
      <c r="F212" s="77"/>
      <c r="G212" s="79" t="s">
        <v>170</v>
      </c>
      <c r="H212" s="79" t="s">
        <v>101</v>
      </c>
      <c r="I212" s="79">
        <f t="shared" ref="I212:I213" si="55">G212-E212</f>
        <v>-5</v>
      </c>
      <c r="J212" s="80">
        <f t="shared" ref="J212:J213" si="56">G212/E212</f>
        <v>0.83333333333333337</v>
      </c>
    </row>
    <row r="213" spans="3:10" ht="14.4" x14ac:dyDescent="0.3">
      <c r="C213" s="76" t="s">
        <v>290</v>
      </c>
      <c r="D213" s="77"/>
      <c r="E213" s="78" t="s">
        <v>173</v>
      </c>
      <c r="F213" s="77"/>
      <c r="G213" s="81" t="s">
        <v>291</v>
      </c>
      <c r="H213" s="79" t="s">
        <v>101</v>
      </c>
      <c r="I213" s="79">
        <f t="shared" si="55"/>
        <v>36</v>
      </c>
      <c r="J213" s="80">
        <f t="shared" si="56"/>
        <v>1.6</v>
      </c>
    </row>
    <row r="214" spans="3:10" x14ac:dyDescent="0.25">
      <c r="C214" s="72" t="s">
        <v>292</v>
      </c>
      <c r="D214" s="72"/>
      <c r="E214" s="72"/>
      <c r="F214" s="72"/>
      <c r="G214" s="72"/>
      <c r="H214" s="72"/>
      <c r="I214" s="72"/>
      <c r="J214" s="72"/>
    </row>
    <row r="215" spans="3:10" ht="14.4" x14ac:dyDescent="0.3">
      <c r="C215" s="76" t="s">
        <v>293</v>
      </c>
      <c r="D215" s="77"/>
      <c r="E215" s="78" t="s">
        <v>107</v>
      </c>
      <c r="F215" s="77"/>
      <c r="G215" s="79" t="s">
        <v>101</v>
      </c>
      <c r="H215" s="79" t="s">
        <v>101</v>
      </c>
      <c r="I215" s="79">
        <f t="shared" ref="I215:I217" si="57">G215-E215</f>
        <v>-1</v>
      </c>
      <c r="J215" s="80">
        <f t="shared" ref="J215:J217" si="58">G215/E215</f>
        <v>0</v>
      </c>
    </row>
    <row r="216" spans="3:10" ht="14.4" x14ac:dyDescent="0.3">
      <c r="C216" s="76" t="s">
        <v>294</v>
      </c>
      <c r="D216" s="77"/>
      <c r="E216" s="78" t="s">
        <v>107</v>
      </c>
      <c r="F216" s="77"/>
      <c r="G216" s="79" t="s">
        <v>101</v>
      </c>
      <c r="H216" s="79" t="s">
        <v>101</v>
      </c>
      <c r="I216" s="79">
        <f t="shared" si="57"/>
        <v>-1</v>
      </c>
      <c r="J216" s="80">
        <f t="shared" si="58"/>
        <v>0</v>
      </c>
    </row>
    <row r="217" spans="3:10" ht="14.4" x14ac:dyDescent="0.3">
      <c r="C217" s="76" t="s">
        <v>295</v>
      </c>
      <c r="D217" s="77"/>
      <c r="E217" s="78" t="s">
        <v>103</v>
      </c>
      <c r="F217" s="77"/>
      <c r="G217" s="79" t="s">
        <v>101</v>
      </c>
      <c r="H217" s="79" t="s">
        <v>101</v>
      </c>
      <c r="I217" s="79">
        <f t="shared" si="57"/>
        <v>-2</v>
      </c>
      <c r="J217" s="80">
        <f t="shared" si="58"/>
        <v>0</v>
      </c>
    </row>
    <row r="218" spans="3:10" x14ac:dyDescent="0.25">
      <c r="C218" s="72" t="s">
        <v>296</v>
      </c>
      <c r="D218" s="72"/>
      <c r="E218" s="72"/>
      <c r="F218" s="72"/>
      <c r="G218" s="72"/>
      <c r="H218" s="72"/>
      <c r="I218" s="72"/>
      <c r="J218" s="72"/>
    </row>
    <row r="219" spans="3:10" ht="14.4" x14ac:dyDescent="0.3">
      <c r="C219" s="76" t="s">
        <v>297</v>
      </c>
      <c r="D219" s="77"/>
      <c r="E219" s="78" t="s">
        <v>123</v>
      </c>
      <c r="F219" s="77"/>
      <c r="G219" s="79" t="s">
        <v>298</v>
      </c>
      <c r="H219" s="79" t="s">
        <v>101</v>
      </c>
      <c r="I219" s="79">
        <f t="shared" ref="I219:I220" si="59">G219-E219</f>
        <v>-74</v>
      </c>
      <c r="J219" s="80">
        <f t="shared" ref="J219:J220" si="60">G219/E219</f>
        <v>0.26</v>
      </c>
    </row>
    <row r="220" spans="3:10" ht="14.4" x14ac:dyDescent="0.3">
      <c r="C220" s="76" t="s">
        <v>299</v>
      </c>
      <c r="D220" s="77"/>
      <c r="E220" s="78" t="s">
        <v>126</v>
      </c>
      <c r="F220" s="77"/>
      <c r="G220" s="79" t="s">
        <v>107</v>
      </c>
      <c r="H220" s="79" t="s">
        <v>101</v>
      </c>
      <c r="I220" s="79">
        <f t="shared" si="59"/>
        <v>-4</v>
      </c>
      <c r="J220" s="80">
        <f t="shared" si="60"/>
        <v>0.2</v>
      </c>
    </row>
    <row r="221" spans="3:10" ht="14.4" x14ac:dyDescent="0.3">
      <c r="C221"/>
      <c r="D221"/>
      <c r="E221"/>
      <c r="F221"/>
      <c r="G221"/>
      <c r="H221" s="79"/>
      <c r="I221" s="79"/>
      <c r="J221" s="79"/>
    </row>
    <row r="222" spans="3:10" ht="14.4" x14ac:dyDescent="0.3">
      <c r="C222" s="68" t="s">
        <v>74</v>
      </c>
      <c r="D222" s="69">
        <v>12177783</v>
      </c>
      <c r="E222" s="70"/>
      <c r="F222" s="69">
        <v>3214260</v>
      </c>
      <c r="G222" s="69"/>
      <c r="H222" s="69">
        <f>F222-D222</f>
        <v>-8963523</v>
      </c>
      <c r="I222" s="69"/>
      <c r="J222" s="69"/>
    </row>
    <row r="223" spans="3:10" ht="24" x14ac:dyDescent="0.25">
      <c r="C223" s="71" t="s">
        <v>93</v>
      </c>
      <c r="D223" s="71" t="s">
        <v>94</v>
      </c>
      <c r="E223" s="71" t="s">
        <v>95</v>
      </c>
      <c r="F223" s="71" t="s">
        <v>96</v>
      </c>
      <c r="G223" s="71" t="s">
        <v>97</v>
      </c>
      <c r="H223" s="71" t="s">
        <v>97</v>
      </c>
      <c r="I223" s="71" t="s">
        <v>97</v>
      </c>
      <c r="J223" s="71" t="s">
        <v>97</v>
      </c>
    </row>
    <row r="224" spans="3:10" x14ac:dyDescent="0.25">
      <c r="C224" s="72" t="s">
        <v>300</v>
      </c>
      <c r="D224" s="72"/>
      <c r="E224" s="72"/>
      <c r="F224" s="72"/>
      <c r="G224" s="72"/>
      <c r="H224" s="72"/>
      <c r="I224" s="72"/>
      <c r="J224" s="72"/>
    </row>
    <row r="225" spans="3:10" ht="14.4" x14ac:dyDescent="0.3">
      <c r="C225" s="76" t="s">
        <v>301</v>
      </c>
      <c r="D225" s="77"/>
      <c r="E225" s="78" t="s">
        <v>107</v>
      </c>
      <c r="F225" s="77"/>
      <c r="G225" s="79" t="s">
        <v>101</v>
      </c>
      <c r="H225" s="79" t="s">
        <v>101</v>
      </c>
      <c r="I225" s="79">
        <f>G225-E225</f>
        <v>-1</v>
      </c>
      <c r="J225" s="80">
        <f>G225/E225</f>
        <v>0</v>
      </c>
    </row>
    <row r="226" spans="3:10" x14ac:dyDescent="0.25">
      <c r="C226" s="72" t="s">
        <v>302</v>
      </c>
      <c r="D226" s="72"/>
      <c r="E226" s="72"/>
      <c r="F226" s="72"/>
      <c r="G226" s="72"/>
      <c r="H226" s="72"/>
      <c r="I226" s="72"/>
      <c r="J226" s="72"/>
    </row>
    <row r="227" spans="3:10" ht="14.4" x14ac:dyDescent="0.3">
      <c r="C227" s="76" t="s">
        <v>303</v>
      </c>
      <c r="D227" s="77"/>
      <c r="E227" s="78" t="s">
        <v>103</v>
      </c>
      <c r="F227" s="77"/>
      <c r="G227" s="79" t="s">
        <v>107</v>
      </c>
      <c r="H227" s="79" t="s">
        <v>101</v>
      </c>
      <c r="I227" s="79">
        <f t="shared" ref="I227:I229" si="61">G227-E227</f>
        <v>-1</v>
      </c>
      <c r="J227" s="80">
        <f t="shared" ref="J227:J229" si="62">G227/E227</f>
        <v>0.5</v>
      </c>
    </row>
    <row r="228" spans="3:10" ht="14.4" x14ac:dyDescent="0.3">
      <c r="C228" s="76" t="s">
        <v>304</v>
      </c>
      <c r="D228" s="77"/>
      <c r="E228" s="78" t="s">
        <v>103</v>
      </c>
      <c r="F228" s="77"/>
      <c r="G228" s="81" t="s">
        <v>268</v>
      </c>
      <c r="H228" s="79" t="s">
        <v>101</v>
      </c>
      <c r="I228" s="79">
        <f t="shared" si="61"/>
        <v>1</v>
      </c>
      <c r="J228" s="80">
        <f t="shared" si="62"/>
        <v>1.5</v>
      </c>
    </row>
    <row r="229" spans="3:10" ht="14.4" x14ac:dyDescent="0.3">
      <c r="C229" s="76" t="s">
        <v>305</v>
      </c>
      <c r="D229" s="77"/>
      <c r="E229" s="78" t="s">
        <v>109</v>
      </c>
      <c r="F229" s="77"/>
      <c r="G229" s="81" t="s">
        <v>109</v>
      </c>
      <c r="H229" s="79" t="s">
        <v>101</v>
      </c>
      <c r="I229" s="79">
        <f t="shared" si="61"/>
        <v>0</v>
      </c>
      <c r="J229" s="80">
        <f t="shared" si="62"/>
        <v>1</v>
      </c>
    </row>
    <row r="230" spans="3:10" ht="14.4" x14ac:dyDescent="0.3">
      <c r="C230"/>
      <c r="D230"/>
      <c r="E230"/>
      <c r="F230"/>
      <c r="G230"/>
      <c r="H230" s="79"/>
      <c r="I230" s="79"/>
      <c r="J230" s="79"/>
    </row>
    <row r="231" spans="3:10" ht="14.4" x14ac:dyDescent="0.3">
      <c r="C231" s="68" t="s">
        <v>75</v>
      </c>
      <c r="D231" s="69">
        <v>34141037</v>
      </c>
      <c r="E231" s="70"/>
      <c r="F231" s="69">
        <v>13422499.49</v>
      </c>
      <c r="G231" s="69"/>
      <c r="H231" s="69">
        <f>F231-D231</f>
        <v>-20718537.509999998</v>
      </c>
      <c r="I231" s="69"/>
      <c r="J231" s="69"/>
    </row>
    <row r="232" spans="3:10" ht="24" x14ac:dyDescent="0.25">
      <c r="C232" s="71" t="s">
        <v>93</v>
      </c>
      <c r="D232" s="71" t="s">
        <v>94</v>
      </c>
      <c r="E232" s="71" t="s">
        <v>95</v>
      </c>
      <c r="F232" s="71" t="s">
        <v>96</v>
      </c>
      <c r="G232" s="71" t="s">
        <v>97</v>
      </c>
      <c r="H232" s="71" t="s">
        <v>97</v>
      </c>
      <c r="I232" s="71" t="s">
        <v>97</v>
      </c>
      <c r="J232" s="71" t="s">
        <v>97</v>
      </c>
    </row>
    <row r="233" spans="3:10" x14ac:dyDescent="0.25">
      <c r="C233" s="72" t="s">
        <v>306</v>
      </c>
      <c r="D233" s="72"/>
      <c r="E233" s="72"/>
      <c r="F233" s="72"/>
      <c r="G233" s="72"/>
      <c r="H233" s="72"/>
      <c r="I233" s="72"/>
      <c r="J233" s="72"/>
    </row>
    <row r="234" spans="3:10" ht="14.4" x14ac:dyDescent="0.3">
      <c r="C234" s="76" t="s">
        <v>307</v>
      </c>
      <c r="D234" s="77"/>
      <c r="E234" s="78" t="s">
        <v>103</v>
      </c>
      <c r="F234" s="77"/>
      <c r="G234" s="79" t="s">
        <v>101</v>
      </c>
      <c r="H234" s="79" t="s">
        <v>101</v>
      </c>
      <c r="I234" s="79">
        <f t="shared" ref="I234:I236" si="63">G234-E234</f>
        <v>-2</v>
      </c>
      <c r="J234" s="80">
        <f t="shared" ref="J234:J236" si="64">G234/E234</f>
        <v>0</v>
      </c>
    </row>
    <row r="235" spans="3:10" ht="14.4" x14ac:dyDescent="0.3">
      <c r="C235" s="76" t="s">
        <v>308</v>
      </c>
      <c r="D235" s="77"/>
      <c r="E235" s="78" t="s">
        <v>154</v>
      </c>
      <c r="F235" s="77"/>
      <c r="G235" s="81" t="s">
        <v>154</v>
      </c>
      <c r="H235" s="79" t="s">
        <v>101</v>
      </c>
      <c r="I235" s="79">
        <f t="shared" si="63"/>
        <v>0</v>
      </c>
      <c r="J235" s="80">
        <f t="shared" si="64"/>
        <v>1</v>
      </c>
    </row>
    <row r="236" spans="3:10" ht="14.4" x14ac:dyDescent="0.3">
      <c r="C236" s="76" t="s">
        <v>309</v>
      </c>
      <c r="D236" s="77"/>
      <c r="E236" s="78" t="s">
        <v>154</v>
      </c>
      <c r="F236" s="77"/>
      <c r="G236" s="81" t="s">
        <v>154</v>
      </c>
      <c r="H236" s="79" t="s">
        <v>101</v>
      </c>
      <c r="I236" s="79">
        <f t="shared" si="63"/>
        <v>0</v>
      </c>
      <c r="J236" s="80">
        <f t="shared" si="64"/>
        <v>1</v>
      </c>
    </row>
    <row r="237" spans="3:10" x14ac:dyDescent="0.25">
      <c r="C237" s="72" t="s">
        <v>310</v>
      </c>
      <c r="D237" s="72"/>
      <c r="E237" s="72"/>
      <c r="F237" s="72"/>
      <c r="G237" s="72"/>
      <c r="H237" s="72"/>
      <c r="I237" s="72"/>
      <c r="J237" s="72"/>
    </row>
    <row r="238" spans="3:10" ht="14.4" x14ac:dyDescent="0.3">
      <c r="C238" s="76" t="s">
        <v>311</v>
      </c>
      <c r="D238" s="77"/>
      <c r="E238" s="78" t="s">
        <v>119</v>
      </c>
      <c r="F238" s="77"/>
      <c r="G238" s="79" t="s">
        <v>107</v>
      </c>
      <c r="H238" s="79" t="s">
        <v>101</v>
      </c>
      <c r="I238" s="79">
        <f t="shared" ref="I238:I241" si="65">G238-E238</f>
        <v>-8</v>
      </c>
      <c r="J238" s="80">
        <f t="shared" ref="J238:J241" si="66">G238/E238</f>
        <v>0.1111111111111111</v>
      </c>
    </row>
    <row r="239" spans="3:10" ht="14.4" x14ac:dyDescent="0.3">
      <c r="C239" s="76" t="s">
        <v>312</v>
      </c>
      <c r="D239" s="77"/>
      <c r="E239" s="78" t="s">
        <v>240</v>
      </c>
      <c r="F239" s="77"/>
      <c r="G239" s="81" t="s">
        <v>313</v>
      </c>
      <c r="H239" s="79" t="s">
        <v>101</v>
      </c>
      <c r="I239" s="79">
        <f t="shared" si="65"/>
        <v>686</v>
      </c>
      <c r="J239" s="80">
        <f t="shared" si="66"/>
        <v>4.43</v>
      </c>
    </row>
    <row r="240" spans="3:10" ht="14.4" x14ac:dyDescent="0.3">
      <c r="C240" s="76" t="s">
        <v>314</v>
      </c>
      <c r="D240" s="77"/>
      <c r="E240" s="78" t="s">
        <v>240</v>
      </c>
      <c r="F240" s="77"/>
      <c r="G240" s="81" t="s">
        <v>313</v>
      </c>
      <c r="H240" s="79" t="s">
        <v>101</v>
      </c>
      <c r="I240" s="79">
        <f t="shared" si="65"/>
        <v>686</v>
      </c>
      <c r="J240" s="80">
        <f t="shared" si="66"/>
        <v>4.43</v>
      </c>
    </row>
    <row r="241" spans="3:10" ht="14.4" x14ac:dyDescent="0.3">
      <c r="C241" s="76" t="s">
        <v>315</v>
      </c>
      <c r="D241" s="77"/>
      <c r="E241" s="78" t="s">
        <v>316</v>
      </c>
      <c r="F241" s="77"/>
      <c r="G241" s="79" t="s">
        <v>317</v>
      </c>
      <c r="H241" s="79" t="s">
        <v>101</v>
      </c>
      <c r="I241" s="79">
        <f t="shared" si="65"/>
        <v>-300</v>
      </c>
      <c r="J241" s="80">
        <f t="shared" si="66"/>
        <v>0.75</v>
      </c>
    </row>
    <row r="242" spans="3:10" ht="14.4" x14ac:dyDescent="0.3">
      <c r="C242"/>
      <c r="D242"/>
      <c r="E242"/>
      <c r="F242"/>
      <c r="G242"/>
      <c r="H242" s="79"/>
      <c r="I242" s="79"/>
      <c r="J242" s="79"/>
    </row>
    <row r="243" spans="3:10" ht="14.4" x14ac:dyDescent="0.3">
      <c r="C243" s="68" t="s">
        <v>76</v>
      </c>
      <c r="D243" s="69">
        <v>88706940</v>
      </c>
      <c r="E243" s="70"/>
      <c r="F243" s="69">
        <v>35231257.270000003</v>
      </c>
      <c r="G243" s="69"/>
      <c r="H243" s="69">
        <f>F243-D243</f>
        <v>-53475682.729999997</v>
      </c>
      <c r="I243" s="69"/>
      <c r="J243" s="69"/>
    </row>
    <row r="244" spans="3:10" ht="24" x14ac:dyDescent="0.25">
      <c r="C244" s="71" t="s">
        <v>93</v>
      </c>
      <c r="D244" s="71" t="s">
        <v>94</v>
      </c>
      <c r="E244" s="71" t="s">
        <v>95</v>
      </c>
      <c r="F244" s="71" t="s">
        <v>96</v>
      </c>
      <c r="G244" s="71" t="s">
        <v>97</v>
      </c>
      <c r="H244" s="71" t="s">
        <v>97</v>
      </c>
      <c r="I244" s="71" t="s">
        <v>97</v>
      </c>
      <c r="J244" s="71" t="s">
        <v>97</v>
      </c>
    </row>
    <row r="245" spans="3:10" x14ac:dyDescent="0.25">
      <c r="C245" s="72" t="s">
        <v>318</v>
      </c>
      <c r="D245" s="72"/>
      <c r="E245" s="72"/>
      <c r="F245" s="72"/>
      <c r="G245" s="72"/>
      <c r="H245" s="72"/>
      <c r="I245" s="72"/>
      <c r="J245" s="72"/>
    </row>
    <row r="246" spans="3:10" ht="14.4" x14ac:dyDescent="0.3">
      <c r="C246" s="76" t="s">
        <v>319</v>
      </c>
      <c r="D246" s="77"/>
      <c r="E246" s="78" t="s">
        <v>320</v>
      </c>
      <c r="F246" s="77"/>
      <c r="G246" s="79" t="s">
        <v>321</v>
      </c>
      <c r="H246" s="79" t="s">
        <v>101</v>
      </c>
      <c r="I246" s="79">
        <f t="shared" ref="I246:I247" si="67">G246-E246</f>
        <v>-193</v>
      </c>
      <c r="J246" s="80">
        <f t="shared" ref="J246:J247" si="68">G246/E246</f>
        <v>0.47123287671232877</v>
      </c>
    </row>
    <row r="247" spans="3:10" ht="14.4" x14ac:dyDescent="0.3">
      <c r="C247" s="76" t="s">
        <v>322</v>
      </c>
      <c r="D247" s="77"/>
      <c r="E247" s="78" t="s">
        <v>323</v>
      </c>
      <c r="F247" s="77"/>
      <c r="G247" s="81" t="s">
        <v>323</v>
      </c>
      <c r="H247" s="79" t="s">
        <v>101</v>
      </c>
      <c r="I247" s="79">
        <f t="shared" si="67"/>
        <v>0</v>
      </c>
      <c r="J247" s="80">
        <f t="shared" si="68"/>
        <v>1</v>
      </c>
    </row>
    <row r="248" spans="3:10" x14ac:dyDescent="0.25">
      <c r="C248" s="72" t="s">
        <v>324</v>
      </c>
      <c r="D248" s="72"/>
      <c r="E248" s="72"/>
      <c r="F248" s="72"/>
      <c r="G248" s="72"/>
      <c r="H248" s="72"/>
      <c r="I248" s="72"/>
      <c r="J248" s="72"/>
    </row>
    <row r="249" spans="3:10" ht="14.4" x14ac:dyDescent="0.3">
      <c r="C249" s="76" t="s">
        <v>325</v>
      </c>
      <c r="D249" s="77"/>
      <c r="E249" s="78" t="s">
        <v>154</v>
      </c>
      <c r="F249" s="77"/>
      <c r="G249" s="81" t="s">
        <v>154</v>
      </c>
      <c r="H249" s="79" t="s">
        <v>101</v>
      </c>
      <c r="I249" s="79">
        <f t="shared" ref="I249:I251" si="69">G249-E249</f>
        <v>0</v>
      </c>
      <c r="J249" s="80">
        <f t="shared" ref="J249:J251" si="70">G249/E249</f>
        <v>1</v>
      </c>
    </row>
    <row r="250" spans="3:10" ht="14.4" x14ac:dyDescent="0.3">
      <c r="C250" s="76" t="s">
        <v>326</v>
      </c>
      <c r="D250" s="77"/>
      <c r="E250" s="78" t="s">
        <v>154</v>
      </c>
      <c r="F250" s="77"/>
      <c r="G250" s="81" t="s">
        <v>154</v>
      </c>
      <c r="H250" s="79" t="s">
        <v>101</v>
      </c>
      <c r="I250" s="79">
        <f t="shared" si="69"/>
        <v>0</v>
      </c>
      <c r="J250" s="80">
        <f t="shared" si="70"/>
        <v>1</v>
      </c>
    </row>
    <row r="251" spans="3:10" ht="14.4" x14ac:dyDescent="0.3">
      <c r="C251" s="76" t="s">
        <v>327</v>
      </c>
      <c r="D251" s="77"/>
      <c r="E251" s="78" t="s">
        <v>328</v>
      </c>
      <c r="F251" s="77"/>
      <c r="G251" s="79" t="s">
        <v>329</v>
      </c>
      <c r="H251" s="79" t="s">
        <v>101</v>
      </c>
      <c r="I251" s="79">
        <f t="shared" si="69"/>
        <v>-33851</v>
      </c>
      <c r="J251" s="80">
        <f t="shared" si="70"/>
        <v>0.26410869565217393</v>
      </c>
    </row>
    <row r="252" spans="3:10" ht="14.4" x14ac:dyDescent="0.3">
      <c r="C252"/>
      <c r="D252"/>
      <c r="E252"/>
      <c r="F252"/>
      <c r="G252"/>
      <c r="H252" s="79"/>
      <c r="I252" s="79"/>
      <c r="J252" s="79"/>
    </row>
    <row r="253" spans="3:10" ht="14.4" x14ac:dyDescent="0.3">
      <c r="C253" s="68" t="s">
        <v>77</v>
      </c>
      <c r="D253" s="69">
        <v>244658282</v>
      </c>
      <c r="E253" s="70"/>
      <c r="F253" s="69">
        <v>82078538.590000004</v>
      </c>
      <c r="G253" s="69"/>
      <c r="H253" s="69">
        <f>F253-D253</f>
        <v>-162579743.41</v>
      </c>
      <c r="I253" s="69"/>
      <c r="J253" s="69"/>
    </row>
    <row r="254" spans="3:10" ht="24" x14ac:dyDescent="0.25">
      <c r="C254" s="71" t="s">
        <v>93</v>
      </c>
      <c r="D254" s="71" t="s">
        <v>94</v>
      </c>
      <c r="E254" s="71" t="s">
        <v>95</v>
      </c>
      <c r="F254" s="71" t="s">
        <v>96</v>
      </c>
      <c r="G254" s="71" t="s">
        <v>97</v>
      </c>
      <c r="H254" s="71" t="s">
        <v>97</v>
      </c>
      <c r="I254" s="71" t="s">
        <v>97</v>
      </c>
      <c r="J254" s="71" t="s">
        <v>97</v>
      </c>
    </row>
    <row r="255" spans="3:10" x14ac:dyDescent="0.25">
      <c r="C255" s="72" t="s">
        <v>330</v>
      </c>
      <c r="D255" s="72"/>
      <c r="E255" s="72"/>
      <c r="F255" s="72"/>
      <c r="G255" s="72"/>
      <c r="H255" s="72"/>
      <c r="I255" s="72"/>
      <c r="J255" s="72"/>
    </row>
    <row r="256" spans="3:10" ht="14.4" x14ac:dyDescent="0.3">
      <c r="C256" s="76" t="s">
        <v>331</v>
      </c>
      <c r="D256" s="77"/>
      <c r="E256" s="78" t="s">
        <v>332</v>
      </c>
      <c r="F256" s="77"/>
      <c r="G256" s="79" t="s">
        <v>333</v>
      </c>
      <c r="H256" s="79" t="s">
        <v>101</v>
      </c>
      <c r="I256" s="79">
        <f t="shared" ref="I256:I258" si="71">G256-E256</f>
        <v>-9.9999999999999978E-2</v>
      </c>
      <c r="J256" s="80">
        <f t="shared" ref="J256:J258" si="72">G256/E256</f>
        <v>0.85714285714285721</v>
      </c>
    </row>
    <row r="257" spans="3:10" ht="14.4" x14ac:dyDescent="0.3">
      <c r="C257" s="76" t="s">
        <v>334</v>
      </c>
      <c r="D257" s="77"/>
      <c r="E257" s="78" t="s">
        <v>232</v>
      </c>
      <c r="F257" s="77"/>
      <c r="G257" s="79" t="s">
        <v>101</v>
      </c>
      <c r="H257" s="79" t="s">
        <v>101</v>
      </c>
      <c r="I257" s="79">
        <f t="shared" si="71"/>
        <v>-0.5</v>
      </c>
      <c r="J257" s="80">
        <f t="shared" si="72"/>
        <v>0</v>
      </c>
    </row>
    <row r="258" spans="3:10" ht="14.4" x14ac:dyDescent="0.3">
      <c r="C258" s="76" t="s">
        <v>335</v>
      </c>
      <c r="D258" s="77"/>
      <c r="E258" s="78" t="s">
        <v>332</v>
      </c>
      <c r="F258" s="77"/>
      <c r="G258" s="79" t="s">
        <v>101</v>
      </c>
      <c r="H258" s="79" t="s">
        <v>101</v>
      </c>
      <c r="I258" s="79">
        <f t="shared" si="71"/>
        <v>-0.7</v>
      </c>
      <c r="J258" s="80">
        <f t="shared" si="72"/>
        <v>0</v>
      </c>
    </row>
    <row r="259" spans="3:10" x14ac:dyDescent="0.25">
      <c r="C259" s="72" t="s">
        <v>336</v>
      </c>
      <c r="D259" s="72"/>
      <c r="E259" s="72"/>
      <c r="F259" s="72"/>
      <c r="G259" s="72"/>
      <c r="H259" s="72"/>
      <c r="I259" s="72"/>
      <c r="J259" s="72"/>
    </row>
    <row r="260" spans="3:10" ht="14.4" x14ac:dyDescent="0.3">
      <c r="C260" s="76" t="s">
        <v>337</v>
      </c>
      <c r="D260" s="77"/>
      <c r="E260" s="78" t="s">
        <v>276</v>
      </c>
      <c r="F260" s="77"/>
      <c r="G260" s="81" t="s">
        <v>123</v>
      </c>
      <c r="H260" s="79" t="s">
        <v>101</v>
      </c>
      <c r="I260" s="79">
        <f t="shared" ref="I260:I261" si="73">G260-E260</f>
        <v>30</v>
      </c>
      <c r="J260" s="80">
        <f t="shared" ref="J260:J261" si="74">G260/E260</f>
        <v>1.4285714285714286</v>
      </c>
    </row>
    <row r="261" spans="3:10" ht="14.4" x14ac:dyDescent="0.3">
      <c r="C261" s="76" t="s">
        <v>338</v>
      </c>
      <c r="D261" s="77"/>
      <c r="E261" s="78" t="s">
        <v>339</v>
      </c>
      <c r="F261" s="77"/>
      <c r="G261" s="79" t="s">
        <v>268</v>
      </c>
      <c r="H261" s="79" t="s">
        <v>101</v>
      </c>
      <c r="I261" s="79">
        <f t="shared" si="73"/>
        <v>-9</v>
      </c>
      <c r="J261" s="80">
        <f t="shared" si="74"/>
        <v>0.25</v>
      </c>
    </row>
    <row r="262" spans="3:10" x14ac:dyDescent="0.25">
      <c r="C262" s="72" t="s">
        <v>340</v>
      </c>
      <c r="D262" s="72"/>
      <c r="E262" s="72"/>
      <c r="F262" s="72"/>
      <c r="G262" s="72"/>
      <c r="H262" s="72"/>
      <c r="I262" s="72"/>
      <c r="J262" s="72"/>
    </row>
    <row r="263" spans="3:10" ht="14.4" x14ac:dyDescent="0.3">
      <c r="C263" s="76" t="s">
        <v>341</v>
      </c>
      <c r="D263" s="77"/>
      <c r="E263" s="78" t="s">
        <v>154</v>
      </c>
      <c r="F263" s="77"/>
      <c r="G263" s="79" t="s">
        <v>342</v>
      </c>
      <c r="H263" s="79" t="s">
        <v>101</v>
      </c>
      <c r="I263" s="79">
        <f>G263-E263</f>
        <v>-0.25</v>
      </c>
      <c r="J263" s="80">
        <f>G263/E263</f>
        <v>0.75</v>
      </c>
    </row>
    <row r="264" spans="3:10" x14ac:dyDescent="0.25">
      <c r="C264" s="72" t="s">
        <v>343</v>
      </c>
      <c r="D264" s="72"/>
      <c r="E264" s="72"/>
      <c r="F264" s="72"/>
      <c r="G264" s="72"/>
      <c r="H264" s="72"/>
      <c r="I264" s="72"/>
      <c r="J264" s="72"/>
    </row>
    <row r="265" spans="3:10" ht="14.4" x14ac:dyDescent="0.3">
      <c r="C265" s="76" t="s">
        <v>344</v>
      </c>
      <c r="D265" s="77"/>
      <c r="E265" s="78" t="s">
        <v>205</v>
      </c>
      <c r="F265" s="77"/>
      <c r="G265" s="79" t="s">
        <v>109</v>
      </c>
      <c r="H265" s="79" t="s">
        <v>101</v>
      </c>
      <c r="I265" s="79">
        <f t="shared" ref="I265:I267" si="75">G265-E265</f>
        <v>-3</v>
      </c>
      <c r="J265" s="80">
        <f t="shared" ref="J265:J267" si="76">G265/E265</f>
        <v>0.5714285714285714</v>
      </c>
    </row>
    <row r="266" spans="3:10" ht="14.4" x14ac:dyDescent="0.3">
      <c r="C266" s="76" t="s">
        <v>345</v>
      </c>
      <c r="D266" s="77"/>
      <c r="E266" s="78" t="s">
        <v>136</v>
      </c>
      <c r="F266" s="77"/>
      <c r="G266" s="79" t="s">
        <v>346</v>
      </c>
      <c r="H266" s="79" t="s">
        <v>101</v>
      </c>
      <c r="I266" s="79">
        <f t="shared" si="75"/>
        <v>-11</v>
      </c>
      <c r="J266" s="80">
        <f t="shared" si="76"/>
        <v>0.54166666666666663</v>
      </c>
    </row>
    <row r="267" spans="3:10" ht="14.4" x14ac:dyDescent="0.3">
      <c r="C267" s="76" t="s">
        <v>347</v>
      </c>
      <c r="D267" s="77"/>
      <c r="E267" s="78" t="s">
        <v>339</v>
      </c>
      <c r="F267" s="77"/>
      <c r="G267" s="79" t="s">
        <v>205</v>
      </c>
      <c r="H267" s="79" t="s">
        <v>101</v>
      </c>
      <c r="I267" s="79">
        <f t="shared" si="75"/>
        <v>-5</v>
      </c>
      <c r="J267" s="80">
        <f t="shared" si="76"/>
        <v>0.58333333333333337</v>
      </c>
    </row>
    <row r="268" spans="3:10" x14ac:dyDescent="0.25">
      <c r="C268" s="72" t="s">
        <v>348</v>
      </c>
      <c r="D268" s="72"/>
      <c r="E268" s="72"/>
      <c r="F268" s="72"/>
      <c r="G268" s="72"/>
      <c r="H268" s="72"/>
      <c r="I268" s="72"/>
      <c r="J268" s="72"/>
    </row>
    <row r="269" spans="3:10" ht="14.4" x14ac:dyDescent="0.3">
      <c r="C269" s="76" t="s">
        <v>349</v>
      </c>
      <c r="D269" s="77"/>
      <c r="E269" s="78" t="s">
        <v>154</v>
      </c>
      <c r="F269" s="77"/>
      <c r="G269" s="79" t="s">
        <v>333</v>
      </c>
      <c r="H269" s="79" t="s">
        <v>101</v>
      </c>
      <c r="I269" s="79">
        <f t="shared" ref="I269:I270" si="77">G269-E269</f>
        <v>-0.4</v>
      </c>
      <c r="J269" s="80">
        <f t="shared" ref="J269:J270" si="78">G269/E269</f>
        <v>0.6</v>
      </c>
    </row>
    <row r="270" spans="3:10" ht="14.4" x14ac:dyDescent="0.3">
      <c r="C270" s="76" t="s">
        <v>350</v>
      </c>
      <c r="D270" s="77"/>
      <c r="E270" s="78" t="s">
        <v>107</v>
      </c>
      <c r="F270" s="77"/>
      <c r="G270" s="79" t="s">
        <v>101</v>
      </c>
      <c r="H270" s="79" t="s">
        <v>101</v>
      </c>
      <c r="I270" s="79">
        <f t="shared" si="77"/>
        <v>-1</v>
      </c>
      <c r="J270" s="80">
        <f t="shared" si="78"/>
        <v>0</v>
      </c>
    </row>
    <row r="271" spans="3:10" x14ac:dyDescent="0.25">
      <c r="C271" s="72" t="s">
        <v>351</v>
      </c>
      <c r="D271" s="72"/>
      <c r="E271" s="72"/>
      <c r="F271" s="72"/>
      <c r="G271" s="72"/>
      <c r="H271" s="72"/>
      <c r="I271" s="72"/>
      <c r="J271" s="72"/>
    </row>
    <row r="272" spans="3:10" ht="14.4" x14ac:dyDescent="0.3">
      <c r="C272" s="76" t="s">
        <v>352</v>
      </c>
      <c r="D272" s="77"/>
      <c r="E272" s="78" t="s">
        <v>107</v>
      </c>
      <c r="F272" s="77"/>
      <c r="G272" s="79" t="s">
        <v>101</v>
      </c>
      <c r="H272" s="79" t="s">
        <v>101</v>
      </c>
      <c r="I272" s="79">
        <f t="shared" ref="I272:I274" si="79">G272-E272</f>
        <v>-1</v>
      </c>
      <c r="J272" s="80">
        <f t="shared" ref="J272:J274" si="80">G272/E272</f>
        <v>0</v>
      </c>
    </row>
    <row r="273" spans="3:10" ht="14.4" x14ac:dyDescent="0.3">
      <c r="C273" s="76" t="s">
        <v>353</v>
      </c>
      <c r="D273" s="77"/>
      <c r="E273" s="78" t="s">
        <v>107</v>
      </c>
      <c r="F273" s="77"/>
      <c r="G273" s="79" t="s">
        <v>101</v>
      </c>
      <c r="H273" s="79" t="s">
        <v>101</v>
      </c>
      <c r="I273" s="79">
        <f t="shared" si="79"/>
        <v>-1</v>
      </c>
      <c r="J273" s="80">
        <f t="shared" si="80"/>
        <v>0</v>
      </c>
    </row>
    <row r="274" spans="3:10" ht="14.4" x14ac:dyDescent="0.3">
      <c r="C274" s="76" t="s">
        <v>354</v>
      </c>
      <c r="D274" s="77"/>
      <c r="E274" s="78" t="s">
        <v>355</v>
      </c>
      <c r="F274" s="77"/>
      <c r="G274" s="79" t="s">
        <v>356</v>
      </c>
      <c r="H274" s="79" t="s">
        <v>101</v>
      </c>
      <c r="I274" s="79">
        <f t="shared" si="79"/>
        <v>-0.03</v>
      </c>
      <c r="J274" s="80">
        <f t="shared" si="80"/>
        <v>0.625</v>
      </c>
    </row>
    <row r="275" spans="3:10" x14ac:dyDescent="0.25">
      <c r="C275" s="72" t="s">
        <v>357</v>
      </c>
      <c r="D275" s="72"/>
      <c r="E275" s="72"/>
      <c r="F275" s="72"/>
      <c r="G275" s="72"/>
      <c r="H275" s="72"/>
      <c r="I275" s="72"/>
      <c r="J275" s="72"/>
    </row>
    <row r="276" spans="3:10" ht="14.4" x14ac:dyDescent="0.3">
      <c r="C276" s="76" t="s">
        <v>358</v>
      </c>
      <c r="D276" s="77"/>
      <c r="E276" s="78" t="s">
        <v>109</v>
      </c>
      <c r="F276" s="77"/>
      <c r="G276" s="79" t="s">
        <v>107</v>
      </c>
      <c r="H276" s="79" t="s">
        <v>101</v>
      </c>
      <c r="I276" s="79">
        <f t="shared" ref="I276:I277" si="81">G276-E276</f>
        <v>-3</v>
      </c>
      <c r="J276" s="80">
        <f t="shared" ref="J276:J277" si="82">G276/E276</f>
        <v>0.25</v>
      </c>
    </row>
    <row r="277" spans="3:10" ht="14.4" x14ac:dyDescent="0.3">
      <c r="C277" s="76" t="s">
        <v>359</v>
      </c>
      <c r="D277" s="77"/>
      <c r="E277" s="78" t="s">
        <v>188</v>
      </c>
      <c r="F277" s="77"/>
      <c r="G277" s="79" t="s">
        <v>109</v>
      </c>
      <c r="H277" s="79" t="s">
        <v>101</v>
      </c>
      <c r="I277" s="79">
        <f t="shared" si="81"/>
        <v>-12</v>
      </c>
      <c r="J277" s="80">
        <f t="shared" si="82"/>
        <v>0.25</v>
      </c>
    </row>
    <row r="278" spans="3:10" x14ac:dyDescent="0.25">
      <c r="C278" s="72" t="s">
        <v>360</v>
      </c>
      <c r="D278" s="72"/>
      <c r="E278" s="72"/>
      <c r="F278" s="72"/>
      <c r="G278" s="72"/>
      <c r="H278" s="72"/>
      <c r="I278" s="72"/>
      <c r="J278" s="72"/>
    </row>
    <row r="279" spans="3:10" ht="14.4" x14ac:dyDescent="0.3">
      <c r="C279" s="76" t="s">
        <v>361</v>
      </c>
      <c r="D279" s="77"/>
      <c r="E279" s="78" t="s">
        <v>362</v>
      </c>
      <c r="F279" s="77"/>
      <c r="G279" s="79" t="s">
        <v>363</v>
      </c>
      <c r="H279" s="79" t="s">
        <v>101</v>
      </c>
      <c r="I279" s="79">
        <f t="shared" ref="I279:I281" si="83">G279-E279</f>
        <v>-78</v>
      </c>
      <c r="J279" s="80">
        <f t="shared" ref="J279:J281" si="84">G279/E279</f>
        <v>0.48</v>
      </c>
    </row>
    <row r="280" spans="3:10" ht="14.4" x14ac:dyDescent="0.3">
      <c r="C280" s="76" t="s">
        <v>364</v>
      </c>
      <c r="D280" s="77"/>
      <c r="E280" s="78" t="s">
        <v>283</v>
      </c>
      <c r="F280" s="77"/>
      <c r="G280" s="81" t="s">
        <v>170</v>
      </c>
      <c r="H280" s="79" t="s">
        <v>101</v>
      </c>
      <c r="I280" s="79">
        <f t="shared" si="83"/>
        <v>15</v>
      </c>
      <c r="J280" s="80">
        <f t="shared" si="84"/>
        <v>2.5</v>
      </c>
    </row>
    <row r="281" spans="3:10" ht="14.4" x14ac:dyDescent="0.3">
      <c r="C281" s="76" t="s">
        <v>365</v>
      </c>
      <c r="D281" s="77"/>
      <c r="E281" s="78" t="s">
        <v>366</v>
      </c>
      <c r="F281" s="77"/>
      <c r="G281" s="79" t="s">
        <v>367</v>
      </c>
      <c r="H281" s="79" t="s">
        <v>101</v>
      </c>
      <c r="I281" s="79">
        <f t="shared" si="83"/>
        <v>-190</v>
      </c>
      <c r="J281" s="80">
        <f t="shared" si="84"/>
        <v>0.62</v>
      </c>
    </row>
    <row r="282" spans="3:10" x14ac:dyDescent="0.25">
      <c r="C282" s="72" t="s">
        <v>368</v>
      </c>
      <c r="D282" s="72"/>
      <c r="E282" s="72"/>
      <c r="F282" s="72"/>
      <c r="G282" s="72"/>
      <c r="H282" s="72"/>
      <c r="I282" s="72"/>
      <c r="J282" s="72"/>
    </row>
    <row r="283" spans="3:10" ht="14.4" x14ac:dyDescent="0.3">
      <c r="C283" s="76" t="s">
        <v>369</v>
      </c>
      <c r="D283" s="77"/>
      <c r="E283" s="78" t="s">
        <v>370</v>
      </c>
      <c r="F283" s="77"/>
      <c r="G283" s="79" t="s">
        <v>371</v>
      </c>
      <c r="H283" s="79" t="s">
        <v>101</v>
      </c>
      <c r="I283" s="79">
        <f t="shared" ref="I283:I285" si="85">G283-E283</f>
        <v>-29029</v>
      </c>
      <c r="J283" s="80">
        <f t="shared" ref="J283:J285" si="86">G283/E283</f>
        <v>0.41942000000000002</v>
      </c>
    </row>
    <row r="284" spans="3:10" ht="14.4" x14ac:dyDescent="0.3">
      <c r="C284" s="76" t="s">
        <v>372</v>
      </c>
      <c r="D284" s="77"/>
      <c r="E284" s="78" t="s">
        <v>373</v>
      </c>
      <c r="F284" s="77"/>
      <c r="G284" s="79" t="s">
        <v>374</v>
      </c>
      <c r="H284" s="79" t="s">
        <v>101</v>
      </c>
      <c r="I284" s="79">
        <f t="shared" si="85"/>
        <v>-131</v>
      </c>
      <c r="J284" s="80">
        <f t="shared" si="86"/>
        <v>0.56333333333333335</v>
      </c>
    </row>
    <row r="285" spans="3:10" ht="14.4" x14ac:dyDescent="0.3">
      <c r="C285" s="76" t="s">
        <v>375</v>
      </c>
      <c r="D285" s="77"/>
      <c r="E285" s="78" t="s">
        <v>376</v>
      </c>
      <c r="F285" s="77"/>
      <c r="G285" s="79" t="s">
        <v>170</v>
      </c>
      <c r="H285" s="79" t="s">
        <v>101</v>
      </c>
      <c r="I285" s="79">
        <f t="shared" si="85"/>
        <v>-975</v>
      </c>
      <c r="J285" s="80">
        <f>IFERROR(G285/E285,0)</f>
        <v>2.5000000000000001E-2</v>
      </c>
    </row>
    <row r="286" spans="3:10" x14ac:dyDescent="0.25">
      <c r="C286" s="72" t="s">
        <v>377</v>
      </c>
      <c r="D286" s="72"/>
      <c r="E286" s="72"/>
      <c r="F286" s="72"/>
      <c r="G286" s="72"/>
      <c r="H286" s="72"/>
      <c r="I286" s="72"/>
      <c r="J286" s="72"/>
    </row>
    <row r="287" spans="3:10" ht="14.4" x14ac:dyDescent="0.3">
      <c r="C287" s="76" t="s">
        <v>378</v>
      </c>
      <c r="D287" s="77"/>
      <c r="E287" s="78" t="s">
        <v>107</v>
      </c>
      <c r="F287" s="77"/>
      <c r="G287" s="81" t="s">
        <v>107</v>
      </c>
      <c r="H287" s="79" t="s">
        <v>101</v>
      </c>
      <c r="I287" s="79">
        <f t="shared" ref="I287:I288" si="87">G287-E287</f>
        <v>0</v>
      </c>
      <c r="J287" s="80">
        <f t="shared" ref="J287:J288" si="88">IFERROR(G287/E287,0)</f>
        <v>1</v>
      </c>
    </row>
    <row r="288" spans="3:10" ht="14.4" x14ac:dyDescent="0.3">
      <c r="C288" s="76" t="s">
        <v>379</v>
      </c>
      <c r="D288" s="77"/>
      <c r="E288" s="78" t="s">
        <v>154</v>
      </c>
      <c r="F288" s="77"/>
      <c r="G288" s="79" t="s">
        <v>380</v>
      </c>
      <c r="H288" s="79" t="s">
        <v>101</v>
      </c>
      <c r="I288" s="79">
        <f t="shared" si="87"/>
        <v>-0.26</v>
      </c>
      <c r="J288" s="80">
        <f t="shared" si="88"/>
        <v>0.74</v>
      </c>
    </row>
    <row r="289" spans="3:10" x14ac:dyDescent="0.25">
      <c r="C289" s="72" t="s">
        <v>381</v>
      </c>
      <c r="D289" s="72"/>
      <c r="E289" s="72"/>
      <c r="F289" s="72"/>
      <c r="G289" s="72"/>
      <c r="H289" s="72"/>
      <c r="I289" s="72"/>
      <c r="J289" s="72"/>
    </row>
    <row r="290" spans="3:10" ht="14.4" x14ac:dyDescent="0.3">
      <c r="C290" s="76" t="s">
        <v>382</v>
      </c>
      <c r="D290" s="77"/>
      <c r="E290" s="78" t="s">
        <v>109</v>
      </c>
      <c r="F290" s="77"/>
      <c r="G290" s="79" t="s">
        <v>103</v>
      </c>
      <c r="H290" s="79" t="s">
        <v>101</v>
      </c>
      <c r="I290" s="79">
        <f t="shared" ref="I290:I291" si="89">G290-E290</f>
        <v>-2</v>
      </c>
      <c r="J290" s="80">
        <f t="shared" ref="J290:J291" si="90">IFERROR(G290/E290,0)</f>
        <v>0.5</v>
      </c>
    </row>
    <row r="291" spans="3:10" ht="14.4" x14ac:dyDescent="0.3">
      <c r="C291" s="76" t="s">
        <v>383</v>
      </c>
      <c r="D291" s="77"/>
      <c r="E291" s="78" t="s">
        <v>154</v>
      </c>
      <c r="F291" s="77"/>
      <c r="G291" s="79" t="s">
        <v>384</v>
      </c>
      <c r="H291" s="79" t="s">
        <v>101</v>
      </c>
      <c r="I291" s="79">
        <f t="shared" si="89"/>
        <v>-0.75</v>
      </c>
      <c r="J291" s="80">
        <f t="shared" si="90"/>
        <v>0.25</v>
      </c>
    </row>
    <row r="292" spans="3:10" ht="14.4" x14ac:dyDescent="0.3">
      <c r="C292"/>
      <c r="D292"/>
      <c r="E292"/>
      <c r="F292"/>
      <c r="G292"/>
      <c r="H292" s="79"/>
      <c r="I292" s="79"/>
      <c r="J292" s="79"/>
    </row>
    <row r="293" spans="3:10" ht="14.4" x14ac:dyDescent="0.3">
      <c r="C293" s="68" t="s">
        <v>78</v>
      </c>
      <c r="D293" s="69">
        <v>66289638</v>
      </c>
      <c r="E293" s="70"/>
      <c r="F293" s="69">
        <v>28316846.280000001</v>
      </c>
      <c r="G293" s="69"/>
      <c r="H293" s="69">
        <f>F293-D293</f>
        <v>-37972791.719999999</v>
      </c>
      <c r="I293" s="69"/>
      <c r="J293" s="69"/>
    </row>
    <row r="294" spans="3:10" ht="24" x14ac:dyDescent="0.25">
      <c r="C294" s="71" t="s">
        <v>93</v>
      </c>
      <c r="D294" s="71" t="s">
        <v>94</v>
      </c>
      <c r="E294" s="71" t="s">
        <v>95</v>
      </c>
      <c r="F294" s="71" t="s">
        <v>96</v>
      </c>
      <c r="G294" s="71" t="s">
        <v>97</v>
      </c>
      <c r="H294" s="71" t="s">
        <v>97</v>
      </c>
      <c r="I294" s="71" t="s">
        <v>97</v>
      </c>
      <c r="J294" s="71" t="s">
        <v>97</v>
      </c>
    </row>
    <row r="295" spans="3:10" x14ac:dyDescent="0.25">
      <c r="C295" s="72" t="s">
        <v>385</v>
      </c>
      <c r="D295" s="72"/>
      <c r="E295" s="72"/>
      <c r="F295" s="72"/>
      <c r="G295" s="72"/>
      <c r="H295" s="72"/>
      <c r="I295" s="72"/>
      <c r="J295" s="72"/>
    </row>
    <row r="296" spans="3:10" ht="14.4" x14ac:dyDescent="0.3">
      <c r="C296" s="76" t="s">
        <v>386</v>
      </c>
      <c r="D296" s="77"/>
      <c r="E296" s="78" t="s">
        <v>154</v>
      </c>
      <c r="F296" s="77"/>
      <c r="G296" s="79" t="s">
        <v>387</v>
      </c>
      <c r="H296" s="79" t="s">
        <v>101</v>
      </c>
      <c r="I296" s="79">
        <f t="shared" ref="I296:I297" si="91">G296-E296</f>
        <v>-0.27</v>
      </c>
      <c r="J296" s="80">
        <f t="shared" ref="J296:J297" si="92">IFERROR(G296/E296,0)</f>
        <v>0.73</v>
      </c>
    </row>
    <row r="297" spans="3:10" ht="14.4" x14ac:dyDescent="0.3">
      <c r="C297" s="76" t="s">
        <v>388</v>
      </c>
      <c r="D297" s="77"/>
      <c r="E297" s="78" t="s">
        <v>389</v>
      </c>
      <c r="F297" s="77"/>
      <c r="G297" s="81" t="s">
        <v>389</v>
      </c>
      <c r="H297" s="79" t="s">
        <v>101</v>
      </c>
      <c r="I297" s="79">
        <f t="shared" si="91"/>
        <v>0</v>
      </c>
      <c r="J297" s="80">
        <f t="shared" si="92"/>
        <v>1</v>
      </c>
    </row>
    <row r="298" spans="3:10" x14ac:dyDescent="0.25">
      <c r="C298" s="72" t="s">
        <v>390</v>
      </c>
      <c r="D298" s="72"/>
      <c r="E298" s="72"/>
      <c r="F298" s="72"/>
      <c r="G298" s="72"/>
      <c r="H298" s="72"/>
      <c r="I298" s="72"/>
      <c r="J298" s="72"/>
    </row>
    <row r="299" spans="3:10" ht="14.4" x14ac:dyDescent="0.3">
      <c r="C299" s="76" t="s">
        <v>391</v>
      </c>
      <c r="D299" s="77"/>
      <c r="E299" s="78" t="s">
        <v>154</v>
      </c>
      <c r="F299" s="77"/>
      <c r="G299" s="79" t="s">
        <v>392</v>
      </c>
      <c r="H299" s="79" t="s">
        <v>101</v>
      </c>
      <c r="I299" s="79">
        <f>G299-E299</f>
        <v>-0.35</v>
      </c>
      <c r="J299" s="80">
        <f>IFERROR(G299/E299,0)</f>
        <v>0.65</v>
      </c>
    </row>
    <row r="300" spans="3:10" ht="14.4" x14ac:dyDescent="0.3">
      <c r="C300"/>
      <c r="D300"/>
      <c r="E300"/>
      <c r="F300"/>
      <c r="G300"/>
      <c r="H300" s="79"/>
      <c r="I300" s="79"/>
      <c r="J300" s="79"/>
    </row>
    <row r="301" spans="3:10" ht="14.4" x14ac:dyDescent="0.3">
      <c r="C301" s="68" t="s">
        <v>79</v>
      </c>
      <c r="D301" s="69">
        <v>25141072</v>
      </c>
      <c r="E301" s="70"/>
      <c r="F301" s="69">
        <v>1456622</v>
      </c>
      <c r="G301" s="69"/>
      <c r="H301" s="69">
        <f>F301-D301</f>
        <v>-23684450</v>
      </c>
      <c r="I301" s="69"/>
      <c r="J301" s="69"/>
    </row>
    <row r="302" spans="3:10" ht="24" x14ac:dyDescent="0.25">
      <c r="C302" s="71" t="s">
        <v>93</v>
      </c>
      <c r="D302" s="71" t="s">
        <v>94</v>
      </c>
      <c r="E302" s="71" t="s">
        <v>95</v>
      </c>
      <c r="F302" s="71" t="s">
        <v>96</v>
      </c>
      <c r="G302" s="71" t="s">
        <v>97</v>
      </c>
      <c r="H302" s="71" t="s">
        <v>97</v>
      </c>
      <c r="I302" s="71" t="s">
        <v>97</v>
      </c>
      <c r="J302" s="71" t="s">
        <v>97</v>
      </c>
    </row>
    <row r="303" spans="3:10" x14ac:dyDescent="0.25">
      <c r="C303" s="72" t="s">
        <v>393</v>
      </c>
      <c r="D303" s="72"/>
      <c r="E303" s="72"/>
      <c r="F303" s="72"/>
      <c r="G303" s="72"/>
      <c r="H303" s="72"/>
      <c r="I303" s="72"/>
      <c r="J303" s="72"/>
    </row>
    <row r="304" spans="3:10" ht="14.4" x14ac:dyDescent="0.3">
      <c r="C304" s="76" t="s">
        <v>394</v>
      </c>
      <c r="D304" s="77"/>
      <c r="E304" s="78" t="s">
        <v>395</v>
      </c>
      <c r="F304" s="77"/>
      <c r="G304" s="79" t="s">
        <v>396</v>
      </c>
      <c r="H304" s="79" t="s">
        <v>101</v>
      </c>
      <c r="I304" s="79">
        <f>G304-E304</f>
        <v>-0.10330000000000006</v>
      </c>
      <c r="J304" s="80">
        <f>IFERROR(G304/E304,0)</f>
        <v>0.88522222222222213</v>
      </c>
    </row>
    <row r="305" spans="3:10" x14ac:dyDescent="0.25">
      <c r="C305" s="72" t="s">
        <v>397</v>
      </c>
      <c r="D305" s="72"/>
      <c r="E305" s="72"/>
      <c r="F305" s="72"/>
      <c r="G305" s="72"/>
      <c r="H305" s="72"/>
      <c r="I305" s="72"/>
      <c r="J305" s="72"/>
    </row>
    <row r="306" spans="3:10" ht="14.4" x14ac:dyDescent="0.3">
      <c r="C306" s="76" t="s">
        <v>398</v>
      </c>
      <c r="D306" s="77"/>
      <c r="E306" s="78" t="s">
        <v>395</v>
      </c>
      <c r="F306" s="77"/>
      <c r="G306" s="79" t="s">
        <v>399</v>
      </c>
      <c r="H306" s="79" t="s">
        <v>101</v>
      </c>
      <c r="I306" s="79">
        <f>G306-E306</f>
        <v>-0.22410000000000008</v>
      </c>
      <c r="J306" s="80">
        <f>IFERROR(G306/E306,0)</f>
        <v>0.75099999999999989</v>
      </c>
    </row>
    <row r="307" spans="3:10" x14ac:dyDescent="0.25">
      <c r="C307" s="72" t="s">
        <v>400</v>
      </c>
      <c r="D307" s="72"/>
      <c r="E307" s="72"/>
      <c r="F307" s="72"/>
      <c r="G307" s="72"/>
      <c r="H307" s="72"/>
      <c r="I307" s="72"/>
      <c r="J307" s="72"/>
    </row>
    <row r="308" spans="3:10" ht="14.4" x14ac:dyDescent="0.3">
      <c r="C308" s="76" t="s">
        <v>401</v>
      </c>
      <c r="D308" s="77"/>
      <c r="E308" s="78" t="s">
        <v>402</v>
      </c>
      <c r="F308" s="77"/>
      <c r="G308" s="81" t="s">
        <v>403</v>
      </c>
      <c r="H308" s="79" t="s">
        <v>101</v>
      </c>
      <c r="I308" s="79">
        <f t="shared" ref="I308:I309" si="93">G308-E308</f>
        <v>0.11670000000000003</v>
      </c>
      <c r="J308" s="80">
        <f t="shared" ref="J308:J309" si="94">IFERROR(G308/E308,0)</f>
        <v>1.1341379310344828</v>
      </c>
    </row>
    <row r="309" spans="3:10" ht="14.4" x14ac:dyDescent="0.3">
      <c r="C309" s="76" t="s">
        <v>404</v>
      </c>
      <c r="D309" s="77"/>
      <c r="E309" s="78" t="s">
        <v>405</v>
      </c>
      <c r="F309" s="77"/>
      <c r="G309" s="79" t="s">
        <v>406</v>
      </c>
      <c r="H309" s="79" t="s">
        <v>101</v>
      </c>
      <c r="I309" s="79">
        <f t="shared" si="93"/>
        <v>-1999.6188</v>
      </c>
      <c r="J309" s="80">
        <f t="shared" si="94"/>
        <v>1.906E-4</v>
      </c>
    </row>
    <row r="310" spans="3:10" x14ac:dyDescent="0.25">
      <c r="C310" s="72" t="s">
        <v>407</v>
      </c>
      <c r="D310" s="72"/>
      <c r="E310" s="72"/>
      <c r="F310" s="72"/>
      <c r="G310" s="72"/>
      <c r="H310" s="72"/>
      <c r="I310" s="72"/>
      <c r="J310" s="72"/>
    </row>
    <row r="311" spans="3:10" ht="14.4" x14ac:dyDescent="0.3">
      <c r="C311" s="76" t="s">
        <v>408</v>
      </c>
      <c r="D311" s="77"/>
      <c r="E311" s="78" t="s">
        <v>409</v>
      </c>
      <c r="F311" s="77"/>
      <c r="G311" s="81" t="s">
        <v>410</v>
      </c>
      <c r="H311" s="79" t="s">
        <v>101</v>
      </c>
      <c r="I311" s="79">
        <f>G311-E311</f>
        <v>0.13</v>
      </c>
      <c r="J311" s="80">
        <f>IFERROR(G311/E311,0)</f>
        <v>0</v>
      </c>
    </row>
    <row r="312" spans="3:10" x14ac:dyDescent="0.25">
      <c r="C312" s="72" t="s">
        <v>411</v>
      </c>
      <c r="D312" s="72"/>
      <c r="E312" s="72"/>
      <c r="F312" s="72"/>
      <c r="G312" s="72"/>
      <c r="H312" s="72"/>
      <c r="I312" s="72"/>
      <c r="J312" s="72"/>
    </row>
    <row r="313" spans="3:10" ht="14.4" x14ac:dyDescent="0.3">
      <c r="C313" s="76" t="s">
        <v>412</v>
      </c>
      <c r="D313" s="77"/>
      <c r="E313" s="78" t="s">
        <v>413</v>
      </c>
      <c r="F313" s="77"/>
      <c r="G313" s="78"/>
      <c r="H313" s="79"/>
      <c r="I313" s="79"/>
      <c r="J313" s="79"/>
    </row>
    <row r="314" spans="3:10" ht="14.4" x14ac:dyDescent="0.3">
      <c r="C314" s="76" t="s">
        <v>414</v>
      </c>
      <c r="D314" s="77"/>
      <c r="E314" s="78" t="s">
        <v>413</v>
      </c>
      <c r="F314" s="77"/>
      <c r="G314" s="79" t="s">
        <v>415</v>
      </c>
      <c r="H314" s="79" t="s">
        <v>101</v>
      </c>
      <c r="I314" s="79">
        <f>G314-E314</f>
        <v>-1.8699999999999939E-2</v>
      </c>
      <c r="J314" s="80">
        <f>IFERROR(G314/E314,0)</f>
        <v>0.98031578947368425</v>
      </c>
    </row>
    <row r="315" spans="3:10" x14ac:dyDescent="0.25">
      <c r="C315" s="72" t="s">
        <v>416</v>
      </c>
      <c r="D315" s="72"/>
      <c r="E315" s="72"/>
      <c r="F315" s="72"/>
      <c r="G315" s="72"/>
      <c r="H315" s="72"/>
      <c r="I315" s="72"/>
      <c r="J315" s="72"/>
    </row>
    <row r="316" spans="3:10" ht="14.4" x14ac:dyDescent="0.3">
      <c r="C316" s="76" t="s">
        <v>417</v>
      </c>
      <c r="D316" s="77"/>
      <c r="E316" s="78" t="s">
        <v>176</v>
      </c>
      <c r="F316" s="77"/>
      <c r="G316" s="81" t="s">
        <v>179</v>
      </c>
      <c r="H316" s="79" t="s">
        <v>101</v>
      </c>
      <c r="I316" s="79">
        <f>G316-E316</f>
        <v>15</v>
      </c>
      <c r="J316" s="80">
        <f>IFERROR(G316/E316,0)</f>
        <v>1.2307692307692308</v>
      </c>
    </row>
    <row r="317" spans="3:10" x14ac:dyDescent="0.25">
      <c r="C317" s="72" t="s">
        <v>418</v>
      </c>
      <c r="D317" s="72"/>
      <c r="E317" s="72"/>
      <c r="F317" s="72"/>
      <c r="G317" s="72"/>
      <c r="H317" s="72"/>
      <c r="I317" s="72"/>
      <c r="J317" s="72"/>
    </row>
    <row r="318" spans="3:10" ht="14.4" x14ac:dyDescent="0.3">
      <c r="C318" s="76" t="s">
        <v>419</v>
      </c>
      <c r="D318" s="77"/>
      <c r="E318" s="78" t="s">
        <v>420</v>
      </c>
      <c r="F318" s="77"/>
      <c r="G318" s="81" t="s">
        <v>420</v>
      </c>
      <c r="H318" s="79" t="s">
        <v>101</v>
      </c>
      <c r="I318" s="79">
        <f t="shared" ref="I318:I319" si="95">G318-E318</f>
        <v>0</v>
      </c>
      <c r="J318" s="80">
        <f t="shared" ref="J318:J319" si="96">IFERROR(G318/E318,0)</f>
        <v>1</v>
      </c>
    </row>
    <row r="319" spans="3:10" ht="14.4" x14ac:dyDescent="0.3">
      <c r="C319" s="76" t="s">
        <v>421</v>
      </c>
      <c r="D319" s="77"/>
      <c r="E319" s="78" t="s">
        <v>420</v>
      </c>
      <c r="F319" s="77"/>
      <c r="G319" s="79" t="s">
        <v>281</v>
      </c>
      <c r="H319" s="79" t="s">
        <v>101</v>
      </c>
      <c r="I319" s="79">
        <f t="shared" si="95"/>
        <v>-16</v>
      </c>
      <c r="J319" s="80">
        <f t="shared" si="96"/>
        <v>0.75757575757575757</v>
      </c>
    </row>
    <row r="320" spans="3:10" x14ac:dyDescent="0.25">
      <c r="C320" s="72" t="s">
        <v>422</v>
      </c>
      <c r="D320" s="72"/>
      <c r="E320" s="72"/>
      <c r="F320" s="72"/>
      <c r="G320" s="72"/>
      <c r="H320" s="72"/>
      <c r="I320" s="72"/>
      <c r="J320" s="72"/>
    </row>
    <row r="321" spans="3:10" ht="14.4" x14ac:dyDescent="0.3">
      <c r="C321" s="76" t="s">
        <v>423</v>
      </c>
      <c r="D321" s="77"/>
      <c r="E321" s="78" t="s">
        <v>424</v>
      </c>
      <c r="F321" s="77"/>
      <c r="G321" s="79" t="s">
        <v>425</v>
      </c>
      <c r="H321" s="79" t="s">
        <v>101</v>
      </c>
      <c r="I321" s="79">
        <f t="shared" ref="I321:I322" si="97">G321-E321</f>
        <v>-20823</v>
      </c>
      <c r="J321" s="80">
        <f t="shared" ref="J321:J322" si="98">IFERROR(G321/E321,0)</f>
        <v>0.42557241379310345</v>
      </c>
    </row>
    <row r="322" spans="3:10" ht="14.4" x14ac:dyDescent="0.3">
      <c r="C322" s="76" t="s">
        <v>426</v>
      </c>
      <c r="D322" s="77"/>
      <c r="E322" s="78" t="s">
        <v>109</v>
      </c>
      <c r="F322" s="77"/>
      <c r="G322" s="79" t="s">
        <v>101</v>
      </c>
      <c r="H322" s="79" t="s">
        <v>101</v>
      </c>
      <c r="I322" s="79">
        <f t="shared" si="97"/>
        <v>-4</v>
      </c>
      <c r="J322" s="80">
        <f t="shared" si="98"/>
        <v>0</v>
      </c>
    </row>
    <row r="323" spans="3:10" x14ac:dyDescent="0.25">
      <c r="C323" s="72" t="s">
        <v>427</v>
      </c>
      <c r="D323" s="72"/>
      <c r="E323" s="72"/>
      <c r="F323" s="72"/>
      <c r="G323" s="72"/>
      <c r="H323" s="72"/>
      <c r="I323" s="72"/>
      <c r="J323" s="72"/>
    </row>
    <row r="324" spans="3:10" ht="14.4" x14ac:dyDescent="0.3">
      <c r="C324" s="76" t="s">
        <v>428</v>
      </c>
      <c r="D324" s="77"/>
      <c r="E324" s="78" t="s">
        <v>429</v>
      </c>
      <c r="F324" s="77"/>
      <c r="G324" s="79" t="s">
        <v>430</v>
      </c>
      <c r="H324" s="79" t="s">
        <v>101</v>
      </c>
      <c r="I324" s="79">
        <f t="shared" ref="I324:I325" si="99">G324-E324</f>
        <v>-700000</v>
      </c>
      <c r="J324" s="80">
        <f t="shared" ref="J324:J325" si="100">IFERROR(G324/E324,0)</f>
        <v>0.65</v>
      </c>
    </row>
    <row r="325" spans="3:10" ht="14.4" x14ac:dyDescent="0.3">
      <c r="C325" s="76" t="s">
        <v>431</v>
      </c>
      <c r="D325" s="77"/>
      <c r="E325" s="78" t="s">
        <v>432</v>
      </c>
      <c r="F325" s="77"/>
      <c r="G325" s="81" t="s">
        <v>433</v>
      </c>
      <c r="H325" s="79" t="s">
        <v>101</v>
      </c>
      <c r="I325" s="79">
        <f t="shared" si="99"/>
        <v>70000</v>
      </c>
      <c r="J325" s="80">
        <f t="shared" si="100"/>
        <v>2</v>
      </c>
    </row>
    <row r="326" spans="3:10" x14ac:dyDescent="0.25">
      <c r="C326" s="72" t="s">
        <v>434</v>
      </c>
      <c r="D326" s="72"/>
      <c r="E326" s="72"/>
      <c r="F326" s="72"/>
      <c r="G326" s="72"/>
      <c r="H326" s="72"/>
      <c r="I326" s="72"/>
      <c r="J326" s="72"/>
    </row>
    <row r="327" spans="3:10" ht="14.4" x14ac:dyDescent="0.3">
      <c r="C327" s="76" t="s">
        <v>435</v>
      </c>
      <c r="D327" s="77"/>
      <c r="E327" s="78" t="s">
        <v>103</v>
      </c>
      <c r="F327" s="77"/>
      <c r="G327" s="79" t="s">
        <v>101</v>
      </c>
      <c r="H327" s="79" t="s">
        <v>101</v>
      </c>
      <c r="I327" s="79">
        <f>G327-E327</f>
        <v>-2</v>
      </c>
      <c r="J327" s="80">
        <f>IFERROR(G327/E327,0)</f>
        <v>0</v>
      </c>
    </row>
    <row r="328" spans="3:10" x14ac:dyDescent="0.25">
      <c r="C328" s="72" t="s">
        <v>436</v>
      </c>
      <c r="D328" s="72"/>
      <c r="E328" s="72"/>
      <c r="F328" s="72"/>
      <c r="G328" s="72"/>
      <c r="H328" s="72"/>
      <c r="I328" s="72"/>
      <c r="J328" s="72"/>
    </row>
    <row r="329" spans="3:10" ht="14.4" x14ac:dyDescent="0.3">
      <c r="C329" s="76" t="s">
        <v>437</v>
      </c>
      <c r="D329" s="77"/>
      <c r="E329" s="78" t="s">
        <v>154</v>
      </c>
      <c r="F329" s="77"/>
      <c r="G329" s="79" t="s">
        <v>101</v>
      </c>
      <c r="H329" s="79" t="s">
        <v>101</v>
      </c>
      <c r="I329" s="79">
        <f>G329-E329</f>
        <v>-1</v>
      </c>
      <c r="J329" s="80">
        <f>IFERROR(G329/E329,0)</f>
        <v>0</v>
      </c>
    </row>
    <row r="330" spans="3:10" ht="14.4" x14ac:dyDescent="0.3">
      <c r="C330"/>
      <c r="D330"/>
      <c r="E330"/>
      <c r="F330"/>
      <c r="G330"/>
      <c r="H330" s="79"/>
      <c r="I330" s="79"/>
      <c r="J330" s="79"/>
    </row>
    <row r="331" spans="3:10" ht="14.4" x14ac:dyDescent="0.3">
      <c r="C331" s="68" t="s">
        <v>80</v>
      </c>
      <c r="D331" s="69">
        <v>6351370</v>
      </c>
      <c r="E331" s="70"/>
      <c r="F331" s="69">
        <v>1296245</v>
      </c>
      <c r="G331" s="69"/>
      <c r="H331" s="69">
        <f>F331-D331</f>
        <v>-5055125</v>
      </c>
      <c r="I331" s="69"/>
      <c r="J331" s="69"/>
    </row>
    <row r="332" spans="3:10" ht="24" x14ac:dyDescent="0.25">
      <c r="C332" s="71" t="s">
        <v>93</v>
      </c>
      <c r="D332" s="71" t="s">
        <v>94</v>
      </c>
      <c r="E332" s="71" t="s">
        <v>95</v>
      </c>
      <c r="F332" s="71" t="s">
        <v>96</v>
      </c>
      <c r="G332" s="71" t="s">
        <v>97</v>
      </c>
      <c r="H332" s="71" t="s">
        <v>97</v>
      </c>
      <c r="I332" s="71" t="s">
        <v>97</v>
      </c>
      <c r="J332" s="71" t="s">
        <v>97</v>
      </c>
    </row>
    <row r="333" spans="3:10" x14ac:dyDescent="0.25">
      <c r="C333" s="72" t="s">
        <v>438</v>
      </c>
      <c r="D333" s="72"/>
      <c r="E333" s="72"/>
      <c r="F333" s="72"/>
      <c r="G333" s="72"/>
      <c r="H333" s="72"/>
      <c r="I333" s="72"/>
      <c r="J333" s="72"/>
    </row>
    <row r="334" spans="3:10" ht="14.4" x14ac:dyDescent="0.3">
      <c r="C334" s="76" t="s">
        <v>439</v>
      </c>
      <c r="D334" s="77"/>
      <c r="E334" s="78" t="s">
        <v>173</v>
      </c>
      <c r="F334" s="77"/>
      <c r="G334" s="81" t="s">
        <v>291</v>
      </c>
      <c r="H334" s="79" t="s">
        <v>101</v>
      </c>
      <c r="I334" s="79">
        <f t="shared" ref="I334:I339" si="101">G334-E334</f>
        <v>36</v>
      </c>
      <c r="J334" s="80">
        <f t="shared" ref="J334:J339" si="102">IFERROR(G334/E334,0)</f>
        <v>1.6</v>
      </c>
    </row>
    <row r="335" spans="3:10" ht="14.4" x14ac:dyDescent="0.3">
      <c r="C335" s="76" t="s">
        <v>440</v>
      </c>
      <c r="D335" s="77"/>
      <c r="E335" s="78" t="s">
        <v>103</v>
      </c>
      <c r="F335" s="77"/>
      <c r="G335" s="81" t="s">
        <v>106</v>
      </c>
      <c r="H335" s="79" t="s">
        <v>101</v>
      </c>
      <c r="I335" s="79">
        <f t="shared" si="101"/>
        <v>4</v>
      </c>
      <c r="J335" s="80">
        <f t="shared" si="102"/>
        <v>3</v>
      </c>
    </row>
    <row r="336" spans="3:10" ht="14.4" x14ac:dyDescent="0.3">
      <c r="C336" s="76" t="s">
        <v>282</v>
      </c>
      <c r="D336" s="77"/>
      <c r="E336" s="78" t="s">
        <v>103</v>
      </c>
      <c r="F336" s="77"/>
      <c r="G336" s="79" t="s">
        <v>107</v>
      </c>
      <c r="H336" s="79" t="s">
        <v>101</v>
      </c>
      <c r="I336" s="79">
        <f t="shared" si="101"/>
        <v>-1</v>
      </c>
      <c r="J336" s="80">
        <f t="shared" si="102"/>
        <v>0.5</v>
      </c>
    </row>
    <row r="337" spans="3:10" ht="14.4" x14ac:dyDescent="0.3">
      <c r="C337" s="76" t="s">
        <v>441</v>
      </c>
      <c r="D337" s="77"/>
      <c r="E337" s="78" t="s">
        <v>103</v>
      </c>
      <c r="F337" s="77"/>
      <c r="G337" s="81" t="s">
        <v>103</v>
      </c>
      <c r="H337" s="79" t="s">
        <v>101</v>
      </c>
      <c r="I337" s="79">
        <f t="shared" si="101"/>
        <v>0</v>
      </c>
      <c r="J337" s="80">
        <f t="shared" si="102"/>
        <v>1</v>
      </c>
    </row>
    <row r="338" spans="3:10" ht="14.4" x14ac:dyDescent="0.3">
      <c r="C338" s="76" t="s">
        <v>442</v>
      </c>
      <c r="D338" s="77"/>
      <c r="E338" s="78" t="s">
        <v>103</v>
      </c>
      <c r="F338" s="77"/>
      <c r="G338" s="79" t="s">
        <v>101</v>
      </c>
      <c r="H338" s="79" t="s">
        <v>101</v>
      </c>
      <c r="I338" s="79">
        <f t="shared" si="101"/>
        <v>-2</v>
      </c>
      <c r="J338" s="80">
        <f t="shared" si="102"/>
        <v>0</v>
      </c>
    </row>
    <row r="339" spans="3:10" ht="14.4" x14ac:dyDescent="0.3">
      <c r="C339" s="76" t="s">
        <v>443</v>
      </c>
      <c r="D339" s="77"/>
      <c r="E339" s="78" t="s">
        <v>199</v>
      </c>
      <c r="F339" s="77"/>
      <c r="G339" s="81" t="s">
        <v>124</v>
      </c>
      <c r="H339" s="79" t="s">
        <v>101</v>
      </c>
      <c r="I339" s="79">
        <f t="shared" si="101"/>
        <v>50</v>
      </c>
      <c r="J339" s="80">
        <f t="shared" si="102"/>
        <v>2.25</v>
      </c>
    </row>
    <row r="340" spans="3:10" ht="14.4" x14ac:dyDescent="0.3">
      <c r="C340"/>
      <c r="D340"/>
      <c r="E340"/>
      <c r="F340"/>
      <c r="G340"/>
      <c r="H340" s="79"/>
      <c r="I340" s="79"/>
      <c r="J340" s="79"/>
    </row>
    <row r="341" spans="3:10" ht="14.4" x14ac:dyDescent="0.3">
      <c r="C341" s="68" t="s">
        <v>81</v>
      </c>
      <c r="D341" s="69">
        <v>430000</v>
      </c>
      <c r="E341" s="70"/>
      <c r="F341" s="69">
        <v>205988</v>
      </c>
      <c r="G341" s="69"/>
      <c r="H341" s="84">
        <f>F341-D341</f>
        <v>-224012</v>
      </c>
      <c r="I341" s="69"/>
      <c r="J341" s="69"/>
    </row>
    <row r="342" spans="3:10" ht="24" x14ac:dyDescent="0.25">
      <c r="C342" s="71" t="s">
        <v>93</v>
      </c>
      <c r="D342" s="71" t="s">
        <v>94</v>
      </c>
      <c r="E342" s="71" t="s">
        <v>95</v>
      </c>
      <c r="F342" s="71" t="s">
        <v>96</v>
      </c>
      <c r="G342" s="71" t="s">
        <v>97</v>
      </c>
      <c r="H342" s="71" t="s">
        <v>97</v>
      </c>
      <c r="I342" s="71" t="s">
        <v>97</v>
      </c>
      <c r="J342" s="71" t="s">
        <v>97</v>
      </c>
    </row>
    <row r="343" spans="3:10" x14ac:dyDescent="0.25">
      <c r="C343" s="72" t="s">
        <v>444</v>
      </c>
      <c r="D343" s="72"/>
      <c r="E343" s="72"/>
      <c r="F343" s="72"/>
      <c r="G343" s="72"/>
      <c r="H343" s="72"/>
      <c r="I343" s="72"/>
      <c r="J343" s="72"/>
    </row>
    <row r="344" spans="3:10" ht="14.4" x14ac:dyDescent="0.3">
      <c r="C344" s="76" t="s">
        <v>445</v>
      </c>
      <c r="D344" s="77"/>
      <c r="E344" s="78" t="s">
        <v>366</v>
      </c>
      <c r="F344" s="77"/>
      <c r="G344" s="81" t="s">
        <v>446</v>
      </c>
      <c r="H344" s="79" t="s">
        <v>101</v>
      </c>
      <c r="I344" s="79">
        <f t="shared" ref="I344:I345" si="103">G344-E344</f>
        <v>2999</v>
      </c>
      <c r="J344" s="80">
        <f t="shared" ref="J344:J345" si="104">IFERROR(G344/E344,0)</f>
        <v>6.9980000000000002</v>
      </c>
    </row>
    <row r="345" spans="3:10" ht="14.4" x14ac:dyDescent="0.3">
      <c r="C345" s="76" t="s">
        <v>447</v>
      </c>
      <c r="D345" s="77"/>
      <c r="E345" s="78" t="s">
        <v>366</v>
      </c>
      <c r="F345" s="77"/>
      <c r="G345" s="79" t="s">
        <v>199</v>
      </c>
      <c r="H345" s="79" t="s">
        <v>101</v>
      </c>
      <c r="I345" s="79">
        <f t="shared" si="103"/>
        <v>-460</v>
      </c>
      <c r="J345" s="80">
        <f t="shared" si="104"/>
        <v>0.08</v>
      </c>
    </row>
    <row r="346" spans="3:10" x14ac:dyDescent="0.25">
      <c r="C346" s="72" t="s">
        <v>448</v>
      </c>
      <c r="D346" s="72"/>
      <c r="E346" s="72"/>
      <c r="F346" s="72"/>
      <c r="G346" s="72"/>
      <c r="H346" s="72"/>
      <c r="I346" s="72"/>
      <c r="J346" s="72"/>
    </row>
    <row r="347" spans="3:10" ht="14.4" x14ac:dyDescent="0.3">
      <c r="C347" s="76" t="s">
        <v>449</v>
      </c>
      <c r="D347" s="77"/>
      <c r="E347" s="78" t="s">
        <v>450</v>
      </c>
      <c r="F347" s="77"/>
      <c r="G347" s="81" t="s">
        <v>179</v>
      </c>
      <c r="H347" s="79" t="s">
        <v>101</v>
      </c>
      <c r="I347" s="79">
        <f>G347-E347</f>
        <v>48</v>
      </c>
      <c r="J347" s="80">
        <f>IFERROR(G347/E347,0)</f>
        <v>2.5</v>
      </c>
    </row>
    <row r="348" spans="3:10" x14ac:dyDescent="0.25">
      <c r="C348" s="72" t="s">
        <v>451</v>
      </c>
      <c r="D348" s="72"/>
      <c r="E348" s="72"/>
      <c r="F348" s="72"/>
      <c r="G348" s="72"/>
      <c r="H348" s="72"/>
      <c r="I348" s="72"/>
      <c r="J348" s="72"/>
    </row>
    <row r="349" spans="3:10" ht="14.4" x14ac:dyDescent="0.3">
      <c r="C349" s="76" t="s">
        <v>452</v>
      </c>
      <c r="D349" s="77"/>
      <c r="E349" s="78" t="s">
        <v>154</v>
      </c>
      <c r="F349" s="77"/>
      <c r="G349" s="79" t="s">
        <v>453</v>
      </c>
      <c r="H349" s="79" t="s">
        <v>101</v>
      </c>
      <c r="I349" s="79">
        <f>G349-E349</f>
        <v>-0.55000000000000004</v>
      </c>
      <c r="J349" s="80">
        <f>IFERROR(G349/E349,0)</f>
        <v>0.45</v>
      </c>
    </row>
    <row r="350" spans="3:10" x14ac:dyDescent="0.25">
      <c r="C350" s="72" t="s">
        <v>454</v>
      </c>
      <c r="D350" s="72"/>
      <c r="E350" s="72"/>
      <c r="F350" s="72"/>
      <c r="G350" s="72"/>
      <c r="H350" s="72"/>
      <c r="I350" s="72"/>
      <c r="J350" s="72"/>
    </row>
    <row r="351" spans="3:10" ht="14.4" x14ac:dyDescent="0.3">
      <c r="C351" s="76" t="s">
        <v>455</v>
      </c>
      <c r="D351" s="77"/>
      <c r="E351" s="78" t="s">
        <v>103</v>
      </c>
      <c r="F351" s="77"/>
      <c r="G351" s="79" t="s">
        <v>107</v>
      </c>
      <c r="H351" s="79" t="s">
        <v>101</v>
      </c>
      <c r="I351" s="79">
        <f>G351-E351</f>
        <v>-1</v>
      </c>
      <c r="J351" s="80">
        <f>IFERROR(G351/E351,0)</f>
        <v>0.5</v>
      </c>
    </row>
    <row r="352" spans="3:10" x14ac:dyDescent="0.25">
      <c r="C352" s="72" t="s">
        <v>456</v>
      </c>
      <c r="D352" s="72"/>
      <c r="E352" s="72"/>
      <c r="F352" s="72"/>
      <c r="G352" s="72"/>
      <c r="H352" s="72"/>
      <c r="I352" s="72"/>
      <c r="J352" s="72"/>
    </row>
    <row r="353" spans="3:10" ht="14.4" x14ac:dyDescent="0.3">
      <c r="C353" s="76" t="s">
        <v>457</v>
      </c>
      <c r="D353" s="77"/>
      <c r="E353" s="78" t="s">
        <v>126</v>
      </c>
      <c r="F353" s="77"/>
      <c r="G353" s="79" t="s">
        <v>101</v>
      </c>
      <c r="H353" s="79" t="s">
        <v>101</v>
      </c>
      <c r="I353" s="79">
        <f>G353-E353</f>
        <v>-5</v>
      </c>
      <c r="J353" s="80">
        <f>IFERROR(G353/E353,0)</f>
        <v>0</v>
      </c>
    </row>
    <row r="354" spans="3:10" x14ac:dyDescent="0.25">
      <c r="C354" s="72" t="s">
        <v>458</v>
      </c>
      <c r="D354" s="72"/>
      <c r="E354" s="72"/>
      <c r="F354" s="72"/>
      <c r="G354" s="72"/>
      <c r="H354" s="72"/>
      <c r="I354" s="72"/>
      <c r="J354" s="72"/>
    </row>
    <row r="355" spans="3:10" ht="14.4" x14ac:dyDescent="0.3">
      <c r="C355" s="76" t="s">
        <v>459</v>
      </c>
      <c r="D355" s="77"/>
      <c r="E355" s="78" t="s">
        <v>366</v>
      </c>
      <c r="F355" s="77"/>
      <c r="G355" s="79" t="s">
        <v>460</v>
      </c>
      <c r="H355" s="79" t="s">
        <v>101</v>
      </c>
      <c r="I355" s="79">
        <f>G355-E355</f>
        <v>-80</v>
      </c>
      <c r="J355" s="80">
        <f>IFERROR(G355/E355,0)</f>
        <v>0.84</v>
      </c>
    </row>
    <row r="356" spans="3:10" x14ac:dyDescent="0.25">
      <c r="C356" s="72" t="s">
        <v>461</v>
      </c>
      <c r="D356" s="72"/>
      <c r="E356" s="72"/>
      <c r="F356" s="72"/>
      <c r="G356" s="72"/>
      <c r="H356" s="72"/>
      <c r="I356" s="72"/>
      <c r="J356" s="72"/>
    </row>
    <row r="357" spans="3:10" ht="14.4" x14ac:dyDescent="0.3">
      <c r="C357" s="76" t="s">
        <v>462</v>
      </c>
      <c r="D357" s="77"/>
      <c r="E357" s="78" t="s">
        <v>109</v>
      </c>
      <c r="F357" s="77"/>
      <c r="G357" s="79" t="s">
        <v>103</v>
      </c>
      <c r="H357" s="79" t="s">
        <v>101</v>
      </c>
      <c r="I357" s="79">
        <f>G357-E357</f>
        <v>-2</v>
      </c>
      <c r="J357" s="80">
        <f>IFERROR(G357/E357,0)</f>
        <v>0.5</v>
      </c>
    </row>
    <row r="358" spans="3:10" ht="14.4" x14ac:dyDescent="0.3">
      <c r="C358"/>
      <c r="D358"/>
      <c r="E358"/>
      <c r="F358"/>
      <c r="G358"/>
      <c r="H358" s="79"/>
      <c r="I358" s="79"/>
      <c r="J358" s="79"/>
    </row>
    <row r="359" spans="3:10" ht="14.4" x14ac:dyDescent="0.3">
      <c r="C359" s="68" t="s">
        <v>82</v>
      </c>
      <c r="D359" s="69">
        <v>602667</v>
      </c>
      <c r="E359" s="70"/>
      <c r="F359" s="69">
        <f>177420+172293</f>
        <v>349713</v>
      </c>
      <c r="G359" s="69"/>
      <c r="H359" s="69">
        <f>F359-D359</f>
        <v>-252954</v>
      </c>
      <c r="I359" s="69"/>
      <c r="J359" s="69"/>
    </row>
    <row r="360" spans="3:10" ht="24" x14ac:dyDescent="0.25">
      <c r="C360" s="71" t="s">
        <v>93</v>
      </c>
      <c r="D360" s="71" t="s">
        <v>94</v>
      </c>
      <c r="E360" s="71" t="s">
        <v>95</v>
      </c>
      <c r="F360" s="71" t="s">
        <v>96</v>
      </c>
      <c r="G360" s="71" t="s">
        <v>97</v>
      </c>
      <c r="H360" s="71" t="s">
        <v>97</v>
      </c>
      <c r="I360" s="71" t="s">
        <v>97</v>
      </c>
      <c r="J360" s="71" t="s">
        <v>97</v>
      </c>
    </row>
    <row r="361" spans="3:10" x14ac:dyDescent="0.25">
      <c r="C361" s="72" t="s">
        <v>463</v>
      </c>
      <c r="D361" s="72"/>
      <c r="E361" s="72"/>
      <c r="F361" s="72"/>
      <c r="G361" s="72"/>
      <c r="H361" s="72"/>
      <c r="I361" s="72"/>
      <c r="J361" s="72"/>
    </row>
    <row r="362" spans="3:10" ht="14.4" x14ac:dyDescent="0.3">
      <c r="C362" s="76" t="s">
        <v>464</v>
      </c>
      <c r="D362" s="77"/>
      <c r="E362" s="78" t="s">
        <v>123</v>
      </c>
      <c r="F362" s="77"/>
      <c r="G362" s="79" t="s">
        <v>465</v>
      </c>
      <c r="H362" s="79" t="s">
        <v>101</v>
      </c>
      <c r="I362" s="79">
        <f>G362-E362</f>
        <v>-59</v>
      </c>
      <c r="J362" s="80">
        <f>IFERROR(G362/E362,0)</f>
        <v>0.41</v>
      </c>
    </row>
    <row r="363" spans="3:10" x14ac:dyDescent="0.25">
      <c r="C363" s="72" t="s">
        <v>466</v>
      </c>
      <c r="D363" s="72"/>
      <c r="E363" s="72"/>
      <c r="F363" s="72"/>
      <c r="G363" s="72"/>
      <c r="H363" s="72"/>
      <c r="I363" s="72"/>
      <c r="J363" s="72"/>
    </row>
    <row r="364" spans="3:10" ht="14.4" x14ac:dyDescent="0.3">
      <c r="C364" s="76" t="s">
        <v>467</v>
      </c>
      <c r="D364" s="77"/>
      <c r="E364" s="78" t="s">
        <v>366</v>
      </c>
      <c r="F364" s="77"/>
      <c r="G364" s="79" t="s">
        <v>468</v>
      </c>
      <c r="H364" s="79" t="s">
        <v>101</v>
      </c>
      <c r="I364" s="79">
        <f t="shared" ref="I364:I367" si="105">G364-E364</f>
        <v>-297</v>
      </c>
      <c r="J364" s="80">
        <f t="shared" ref="J364:J367" si="106">IFERROR(G364/E364,0)</f>
        <v>0.40600000000000003</v>
      </c>
    </row>
    <row r="365" spans="3:10" ht="14.4" x14ac:dyDescent="0.3">
      <c r="C365" s="76" t="s">
        <v>469</v>
      </c>
      <c r="D365" s="77"/>
      <c r="E365" s="78" t="s">
        <v>470</v>
      </c>
      <c r="F365" s="77"/>
      <c r="G365" s="79" t="s">
        <v>471</v>
      </c>
      <c r="H365" s="79" t="s">
        <v>101</v>
      </c>
      <c r="I365" s="79">
        <f t="shared" si="105"/>
        <v>-2362</v>
      </c>
      <c r="J365" s="80">
        <f t="shared" si="106"/>
        <v>0.37842105263157894</v>
      </c>
    </row>
    <row r="366" spans="3:10" ht="14.4" x14ac:dyDescent="0.3">
      <c r="C366" s="76" t="s">
        <v>472</v>
      </c>
      <c r="D366" s="77"/>
      <c r="E366" s="78" t="s">
        <v>473</v>
      </c>
      <c r="F366" s="77"/>
      <c r="G366" s="79" t="s">
        <v>474</v>
      </c>
      <c r="H366" s="79" t="s">
        <v>101</v>
      </c>
      <c r="I366" s="79">
        <f t="shared" si="105"/>
        <v>-1513</v>
      </c>
      <c r="J366" s="80">
        <f t="shared" si="106"/>
        <v>0.56771428571428573</v>
      </c>
    </row>
    <row r="367" spans="3:10" ht="14.4" x14ac:dyDescent="0.3">
      <c r="C367" s="76" t="s">
        <v>475</v>
      </c>
      <c r="D367" s="77"/>
      <c r="E367" s="78" t="s">
        <v>476</v>
      </c>
      <c r="F367" s="77"/>
      <c r="G367" s="79" t="s">
        <v>205</v>
      </c>
      <c r="H367" s="79" t="s">
        <v>101</v>
      </c>
      <c r="I367" s="79">
        <f t="shared" si="105"/>
        <v>-29</v>
      </c>
      <c r="J367" s="80">
        <f t="shared" si="106"/>
        <v>0.19444444444444445</v>
      </c>
    </row>
    <row r="368" spans="3:10" x14ac:dyDescent="0.25">
      <c r="C368" s="72" t="s">
        <v>477</v>
      </c>
      <c r="D368" s="72"/>
      <c r="E368" s="72"/>
      <c r="F368" s="72"/>
      <c r="G368" s="72"/>
      <c r="H368" s="72"/>
      <c r="I368" s="72"/>
      <c r="J368" s="72"/>
    </row>
    <row r="369" spans="3:10" ht="14.4" x14ac:dyDescent="0.3">
      <c r="C369" s="76" t="s">
        <v>478</v>
      </c>
      <c r="D369" s="77"/>
      <c r="E369" s="78" t="s">
        <v>109</v>
      </c>
      <c r="F369" s="77"/>
      <c r="G369" s="79" t="s">
        <v>268</v>
      </c>
      <c r="H369" s="79" t="s">
        <v>101</v>
      </c>
      <c r="I369" s="79">
        <f>G369-E369</f>
        <v>-1</v>
      </c>
      <c r="J369" s="80">
        <f>IFERROR(G369/E369,0)</f>
        <v>0.75</v>
      </c>
    </row>
    <row r="370" spans="3:10" x14ac:dyDescent="0.25">
      <c r="C370" s="72" t="s">
        <v>479</v>
      </c>
      <c r="D370" s="72"/>
      <c r="E370" s="72"/>
      <c r="F370" s="72"/>
      <c r="G370" s="72"/>
      <c r="H370" s="72"/>
      <c r="I370" s="72"/>
      <c r="J370" s="72"/>
    </row>
    <row r="371" spans="3:10" ht="14.4" x14ac:dyDescent="0.3">
      <c r="C371" s="76" t="s">
        <v>480</v>
      </c>
      <c r="D371" s="77"/>
      <c r="E371" s="78" t="s">
        <v>202</v>
      </c>
      <c r="F371" s="77"/>
      <c r="G371" s="79" t="s">
        <v>481</v>
      </c>
      <c r="H371" s="79" t="s">
        <v>101</v>
      </c>
      <c r="I371" s="79">
        <f>G371-E371</f>
        <v>-25</v>
      </c>
      <c r="J371" s="80">
        <f>IFERROR(G371/E371,0)</f>
        <v>0.47916666666666669</v>
      </c>
    </row>
    <row r="372" spans="3:10" x14ac:dyDescent="0.25">
      <c r="C372" s="72" t="s">
        <v>482</v>
      </c>
      <c r="D372" s="72"/>
      <c r="E372" s="72"/>
      <c r="F372" s="72"/>
      <c r="G372" s="72"/>
      <c r="H372" s="72"/>
      <c r="I372" s="72"/>
      <c r="J372" s="72"/>
    </row>
    <row r="373" spans="3:10" ht="14.4" x14ac:dyDescent="0.3">
      <c r="C373" s="76" t="s">
        <v>475</v>
      </c>
      <c r="D373" s="77"/>
      <c r="E373" s="78" t="s">
        <v>483</v>
      </c>
      <c r="F373" s="77"/>
      <c r="G373" s="79" t="s">
        <v>450</v>
      </c>
      <c r="H373" s="79" t="s">
        <v>101</v>
      </c>
      <c r="I373" s="79">
        <f t="shared" ref="I373:I374" si="107">G373-E373</f>
        <v>-30</v>
      </c>
      <c r="J373" s="80">
        <f t="shared" ref="J373:J374" si="108">IFERROR(G373/E373,0)</f>
        <v>0.5161290322580645</v>
      </c>
    </row>
    <row r="374" spans="3:10" ht="14.4" x14ac:dyDescent="0.3">
      <c r="C374" s="76" t="s">
        <v>484</v>
      </c>
      <c r="D374" s="77"/>
      <c r="E374" s="78" t="s">
        <v>119</v>
      </c>
      <c r="F374" s="77"/>
      <c r="G374" s="79" t="s">
        <v>109</v>
      </c>
      <c r="H374" s="79" t="s">
        <v>101</v>
      </c>
      <c r="I374" s="79">
        <f t="shared" si="107"/>
        <v>-5</v>
      </c>
      <c r="J374" s="80">
        <f t="shared" si="108"/>
        <v>0.44444444444444442</v>
      </c>
    </row>
    <row r="375" spans="3:10" ht="14.4" x14ac:dyDescent="0.3">
      <c r="C375"/>
      <c r="D375"/>
      <c r="E375"/>
      <c r="F375"/>
      <c r="G375"/>
      <c r="H375" s="79"/>
      <c r="I375" s="79"/>
      <c r="J375" s="79"/>
    </row>
    <row r="376" spans="3:10" ht="14.4" x14ac:dyDescent="0.3">
      <c r="C376" s="68" t="s">
        <v>83</v>
      </c>
      <c r="D376" s="69">
        <v>60244398</v>
      </c>
      <c r="E376" s="70"/>
      <c r="F376" s="69">
        <v>46862872.140000001</v>
      </c>
      <c r="G376" s="69"/>
      <c r="H376" s="69">
        <f>F376-D376</f>
        <v>-13381525.859999999</v>
      </c>
      <c r="I376" s="69"/>
      <c r="J376" s="69"/>
    </row>
    <row r="377" spans="3:10" ht="24" x14ac:dyDescent="0.25">
      <c r="C377" s="71" t="s">
        <v>93</v>
      </c>
      <c r="D377" s="71" t="s">
        <v>94</v>
      </c>
      <c r="E377" s="71" t="s">
        <v>95</v>
      </c>
      <c r="F377" s="71" t="s">
        <v>96</v>
      </c>
      <c r="G377" s="71" t="s">
        <v>97</v>
      </c>
      <c r="H377" s="71" t="s">
        <v>97</v>
      </c>
      <c r="I377" s="71" t="s">
        <v>97</v>
      </c>
      <c r="J377" s="71" t="s">
        <v>97</v>
      </c>
    </row>
    <row r="378" spans="3:10" x14ac:dyDescent="0.25">
      <c r="C378" s="72" t="s">
        <v>485</v>
      </c>
      <c r="D378" s="72"/>
      <c r="E378" s="72"/>
      <c r="F378" s="72"/>
      <c r="G378" s="72"/>
      <c r="H378" s="72"/>
      <c r="I378" s="72"/>
      <c r="J378" s="72"/>
    </row>
    <row r="379" spans="3:10" ht="14.4" x14ac:dyDescent="0.3">
      <c r="C379" s="76" t="s">
        <v>486</v>
      </c>
      <c r="D379" s="77"/>
      <c r="E379" s="78" t="s">
        <v>487</v>
      </c>
      <c r="F379" s="77"/>
      <c r="G379" s="79" t="s">
        <v>101</v>
      </c>
      <c r="H379" s="79" t="s">
        <v>101</v>
      </c>
      <c r="I379" s="79">
        <f t="shared" ref="I379:I380" si="109">G379-E379</f>
        <v>-15379</v>
      </c>
      <c r="J379" s="80">
        <f t="shared" ref="J379:J380" si="110">IFERROR(G379/E379,0)</f>
        <v>0</v>
      </c>
    </row>
    <row r="380" spans="3:10" ht="14.4" x14ac:dyDescent="0.3">
      <c r="C380" s="76" t="s">
        <v>488</v>
      </c>
      <c r="D380" s="77"/>
      <c r="E380" s="85" t="s">
        <v>489</v>
      </c>
      <c r="F380" s="77"/>
      <c r="G380" s="86">
        <v>46862872</v>
      </c>
      <c r="H380" s="79" t="s">
        <v>101</v>
      </c>
      <c r="I380" s="86">
        <f>G380-E380</f>
        <v>-12700288</v>
      </c>
      <c r="J380" s="80">
        <f t="shared" si="110"/>
        <v>0.78677612134749064</v>
      </c>
    </row>
    <row r="381" spans="3:10" x14ac:dyDescent="0.25">
      <c r="C381" s="72" t="s">
        <v>490</v>
      </c>
      <c r="D381" s="72"/>
      <c r="E381" s="72"/>
      <c r="F381" s="72"/>
      <c r="G381" s="72"/>
      <c r="H381" s="73"/>
      <c r="I381" s="74"/>
      <c r="J381" s="75"/>
    </row>
    <row r="382" spans="3:10" ht="14.4" x14ac:dyDescent="0.3">
      <c r="C382" s="76" t="s">
        <v>491</v>
      </c>
      <c r="D382" s="77"/>
      <c r="E382" s="78" t="s">
        <v>170</v>
      </c>
      <c r="F382" s="77"/>
      <c r="G382" s="78"/>
      <c r="H382" s="78"/>
      <c r="I382" s="78"/>
      <c r="J382" s="78"/>
    </row>
    <row r="383" spans="3:10" ht="14.4" x14ac:dyDescent="0.3">
      <c r="C383"/>
      <c r="D383"/>
      <c r="E383"/>
      <c r="F383"/>
      <c r="G383"/>
      <c r="H383"/>
      <c r="I383"/>
      <c r="J383"/>
    </row>
    <row r="384" spans="3:10" ht="14.4" x14ac:dyDescent="0.3">
      <c r="C384" s="87" t="s">
        <v>492</v>
      </c>
      <c r="D384" s="88">
        <f>D74+D104+D125+D153+D164+D184+D222+D231+D243+D253+D293+D301+D331+D341+D359+D376</f>
        <v>1151994693</v>
      </c>
      <c r="E384" s="89"/>
      <c r="F384" s="88">
        <f>F74+F104+F125+F153+F164+F184+F222+F231+F243+F253+F293+F301+F331+F341+F359+F376</f>
        <v>374546580.16999996</v>
      </c>
      <c r="G384" s="88"/>
      <c r="H384" s="88">
        <f>F384-D384</f>
        <v>-777448112.83000004</v>
      </c>
      <c r="I384" s="89"/>
      <c r="J384" s="90">
        <f>F384/D384</f>
        <v>0.32512873752448784</v>
      </c>
    </row>
    <row r="389" spans="6:6" x14ac:dyDescent="0.25">
      <c r="F389" s="51"/>
    </row>
  </sheetData>
  <mergeCells count="196">
    <mergeCell ref="C378:G378"/>
    <mergeCell ref="H378:J378"/>
    <mergeCell ref="C381:G381"/>
    <mergeCell ref="H381:J381"/>
    <mergeCell ref="C368:G368"/>
    <mergeCell ref="H368:J368"/>
    <mergeCell ref="C370:G370"/>
    <mergeCell ref="H370:J370"/>
    <mergeCell ref="C372:G372"/>
    <mergeCell ref="H372:J372"/>
    <mergeCell ref="C356:G356"/>
    <mergeCell ref="H356:J356"/>
    <mergeCell ref="C361:G361"/>
    <mergeCell ref="H361:J361"/>
    <mergeCell ref="C363:G363"/>
    <mergeCell ref="H363:J363"/>
    <mergeCell ref="C350:G350"/>
    <mergeCell ref="H350:J350"/>
    <mergeCell ref="C352:G352"/>
    <mergeCell ref="H352:J352"/>
    <mergeCell ref="C354:G354"/>
    <mergeCell ref="H354:J354"/>
    <mergeCell ref="C343:G343"/>
    <mergeCell ref="H343:J343"/>
    <mergeCell ref="C346:G346"/>
    <mergeCell ref="H346:J346"/>
    <mergeCell ref="C348:G348"/>
    <mergeCell ref="H348:J348"/>
    <mergeCell ref="C326:G326"/>
    <mergeCell ref="H326:J326"/>
    <mergeCell ref="C328:G328"/>
    <mergeCell ref="H328:J328"/>
    <mergeCell ref="C333:G333"/>
    <mergeCell ref="H333:J333"/>
    <mergeCell ref="C317:G317"/>
    <mergeCell ref="H317:J317"/>
    <mergeCell ref="C320:G320"/>
    <mergeCell ref="H320:J320"/>
    <mergeCell ref="C323:G323"/>
    <mergeCell ref="H323:J323"/>
    <mergeCell ref="C310:G310"/>
    <mergeCell ref="H310:J310"/>
    <mergeCell ref="C312:G312"/>
    <mergeCell ref="H312:J312"/>
    <mergeCell ref="C315:G315"/>
    <mergeCell ref="H315:J315"/>
    <mergeCell ref="C303:G303"/>
    <mergeCell ref="H303:J303"/>
    <mergeCell ref="C305:G305"/>
    <mergeCell ref="H305:J305"/>
    <mergeCell ref="C307:G307"/>
    <mergeCell ref="H307:J307"/>
    <mergeCell ref="C289:G289"/>
    <mergeCell ref="H289:J289"/>
    <mergeCell ref="C295:G295"/>
    <mergeCell ref="H295:J295"/>
    <mergeCell ref="C298:G298"/>
    <mergeCell ref="H298:J298"/>
    <mergeCell ref="C278:G278"/>
    <mergeCell ref="H278:J278"/>
    <mergeCell ref="C282:G282"/>
    <mergeCell ref="H282:J282"/>
    <mergeCell ref="C286:G286"/>
    <mergeCell ref="H286:J286"/>
    <mergeCell ref="C268:G268"/>
    <mergeCell ref="H268:J268"/>
    <mergeCell ref="C271:G271"/>
    <mergeCell ref="H271:J271"/>
    <mergeCell ref="C275:G275"/>
    <mergeCell ref="H275:J275"/>
    <mergeCell ref="C259:G259"/>
    <mergeCell ref="H259:J259"/>
    <mergeCell ref="C262:G262"/>
    <mergeCell ref="H262:J262"/>
    <mergeCell ref="C264:G264"/>
    <mergeCell ref="H264:J264"/>
    <mergeCell ref="C245:G245"/>
    <mergeCell ref="H245:J245"/>
    <mergeCell ref="C248:G248"/>
    <mergeCell ref="H248:J248"/>
    <mergeCell ref="C255:G255"/>
    <mergeCell ref="H255:J255"/>
    <mergeCell ref="C226:G226"/>
    <mergeCell ref="H226:J226"/>
    <mergeCell ref="C233:G233"/>
    <mergeCell ref="H233:J233"/>
    <mergeCell ref="C237:G237"/>
    <mergeCell ref="H237:J237"/>
    <mergeCell ref="C214:G214"/>
    <mergeCell ref="H214:J214"/>
    <mergeCell ref="C218:G218"/>
    <mergeCell ref="H218:J218"/>
    <mergeCell ref="C224:G224"/>
    <mergeCell ref="H224:J224"/>
    <mergeCell ref="C201:G201"/>
    <mergeCell ref="H201:J201"/>
    <mergeCell ref="C206:G206"/>
    <mergeCell ref="H206:J206"/>
    <mergeCell ref="C211:G211"/>
    <mergeCell ref="H211:J211"/>
    <mergeCell ref="C186:G186"/>
    <mergeCell ref="H186:J186"/>
    <mergeCell ref="C189:G189"/>
    <mergeCell ref="H189:J189"/>
    <mergeCell ref="C194:G194"/>
    <mergeCell ref="H194:J194"/>
    <mergeCell ref="C170:G170"/>
    <mergeCell ref="H170:J170"/>
    <mergeCell ref="C174:G174"/>
    <mergeCell ref="H174:J174"/>
    <mergeCell ref="C178:G178"/>
    <mergeCell ref="H178:J178"/>
    <mergeCell ref="C157:G157"/>
    <mergeCell ref="H157:J157"/>
    <mergeCell ref="C161:G161"/>
    <mergeCell ref="H161:J161"/>
    <mergeCell ref="C166:G166"/>
    <mergeCell ref="H166:J166"/>
    <mergeCell ref="C148:G148"/>
    <mergeCell ref="H148:J148"/>
    <mergeCell ref="C150:G150"/>
    <mergeCell ref="H150:J150"/>
    <mergeCell ref="C155:G155"/>
    <mergeCell ref="H155:J155"/>
    <mergeCell ref="C142:G142"/>
    <mergeCell ref="H142:J142"/>
    <mergeCell ref="C144:G144"/>
    <mergeCell ref="H144:J144"/>
    <mergeCell ref="C146:G146"/>
    <mergeCell ref="H146:J146"/>
    <mergeCell ref="C136:G136"/>
    <mergeCell ref="H136:J136"/>
    <mergeCell ref="C138:G138"/>
    <mergeCell ref="H138:J138"/>
    <mergeCell ref="C140:G140"/>
    <mergeCell ref="H140:J140"/>
    <mergeCell ref="C127:G127"/>
    <mergeCell ref="H127:J127"/>
    <mergeCell ref="C130:G130"/>
    <mergeCell ref="H130:J130"/>
    <mergeCell ref="C132:G132"/>
    <mergeCell ref="H132:J132"/>
    <mergeCell ref="C118:G118"/>
    <mergeCell ref="H118:J118"/>
    <mergeCell ref="C120:G120"/>
    <mergeCell ref="H120:J120"/>
    <mergeCell ref="C122:G122"/>
    <mergeCell ref="H122:J122"/>
    <mergeCell ref="C111:G111"/>
    <mergeCell ref="H111:J111"/>
    <mergeCell ref="C113:G113"/>
    <mergeCell ref="H113:J113"/>
    <mergeCell ref="C115:G115"/>
    <mergeCell ref="H115:J115"/>
    <mergeCell ref="C100:G100"/>
    <mergeCell ref="H100:J100"/>
    <mergeCell ref="C106:G106"/>
    <mergeCell ref="H106:J106"/>
    <mergeCell ref="C109:G109"/>
    <mergeCell ref="H109:J109"/>
    <mergeCell ref="C92:G92"/>
    <mergeCell ref="H92:J92"/>
    <mergeCell ref="C95:G95"/>
    <mergeCell ref="H95:J95"/>
    <mergeCell ref="C98:G98"/>
    <mergeCell ref="H98:J98"/>
    <mergeCell ref="C82:G82"/>
    <mergeCell ref="H82:J82"/>
    <mergeCell ref="C86:G86"/>
    <mergeCell ref="H86:J86"/>
    <mergeCell ref="C89:G89"/>
    <mergeCell ref="H89:J89"/>
    <mergeCell ref="H73:I73"/>
    <mergeCell ref="C76:G76"/>
    <mergeCell ref="H76:J76"/>
    <mergeCell ref="C79:G79"/>
    <mergeCell ref="H79:J79"/>
    <mergeCell ref="E1:F1"/>
    <mergeCell ref="L1:M1"/>
    <mergeCell ref="B4:B7"/>
    <mergeCell ref="C4:C7"/>
    <mergeCell ref="D4:D5"/>
    <mergeCell ref="F4:F5"/>
    <mergeCell ref="G4:G5"/>
    <mergeCell ref="C51:C53"/>
    <mergeCell ref="B8:B15"/>
    <mergeCell ref="B16:B24"/>
    <mergeCell ref="B25:B30"/>
    <mergeCell ref="B31:C31"/>
    <mergeCell ref="B34:B37"/>
    <mergeCell ref="C34:C37"/>
    <mergeCell ref="D34:D35"/>
    <mergeCell ref="F34:F35"/>
    <mergeCell ref="G34:G35"/>
    <mergeCell ref="B46:C46"/>
    <mergeCell ref="B48:C48"/>
  </mergeCells>
  <pageMargins left="0.7" right="0.7" top="0.75" bottom="0.75" header="0.3" footer="0.3"/>
  <pageSetup paperSize="9" orientation="portrait" horizontalDpi="4294967293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Mvula</dc:creator>
  <cp:lastModifiedBy>Mumba Mwape</cp:lastModifiedBy>
  <dcterms:created xsi:type="dcterms:W3CDTF">2026-05-15T10:39:42Z</dcterms:created>
  <dcterms:modified xsi:type="dcterms:W3CDTF">2026-07-29T14:10:16Z</dcterms:modified>
</cp:coreProperties>
</file>